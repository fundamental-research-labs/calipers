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bookViews>
    <workbookView xWindow="-110" yWindow="-110" windowWidth="38620" windowHeight="21100" activeTab="3" xr2:uid="{00000000-000D-0000-FFFF-FFFF00000000}"/>
  </bookViews>
  <sheets>
    <sheet name="Model Summary" sheetId="1" r:id="rId1"/>
    <sheet name="Operating Build" sheetId="2" r:id="rId2"/>
    <sheet name="Revenue Build" sheetId="3" r:id="rId3"/>
    <sheet name="Margin Build vF" sheetId="4" r:id="rId4"/>
    <sheet name="Top Customer Data" sheetId="5" r:id="rId5"/>
    <sheet name="SOFR" sheetId="6" r:id="rId6"/>
  </sheets>
  <definedNames>
    <definedName name="CIRCULARITY">'Model Summary'!$D$11</definedName>
    <definedName name="CRT">'Model Summary'!$D$6</definedName>
    <definedName name="GrowthCase">'Model Summary'!$D$7</definedName>
    <definedName name="Mergers">'Model Summary'!$D$4</definedName>
    <definedName name="MultipleExpansion">'Model Summary'!$D$8</definedName>
    <definedName name="_xlnm.Print_Area" localSheetId="0">'Model Summary'!$A$12:$S$219</definedName>
    <definedName name="_xlnm.Print_Area" localSheetId="1">'Operating Build'!$B$4:$Q$116</definedName>
    <definedName name="SOFR">'Model Summary'!$D$9</definedName>
    <definedName name="XSell">'Model Summary'!$D$5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33" i="6" l="1"/>
  <c r="N132" i="6"/>
  <c r="N131" i="6"/>
  <c r="N130" i="6"/>
  <c r="N129" i="6"/>
  <c r="N128" i="6"/>
  <c r="N127" i="6"/>
  <c r="N126" i="6"/>
  <c r="N125" i="6"/>
  <c r="N124" i="6"/>
  <c r="N123" i="6"/>
  <c r="N122" i="6"/>
  <c r="N121" i="6"/>
  <c r="N120" i="6"/>
  <c r="N119" i="6"/>
  <c r="N118" i="6"/>
  <c r="N117" i="6"/>
  <c r="N116" i="6"/>
  <c r="N115" i="6"/>
  <c r="N114" i="6"/>
  <c r="N113" i="6"/>
  <c r="N112" i="6"/>
  <c r="N111" i="6"/>
  <c r="N110" i="6"/>
  <c r="N109" i="6"/>
  <c r="N108" i="6"/>
  <c r="N107" i="6"/>
  <c r="N106" i="6"/>
  <c r="N105" i="6"/>
  <c r="N104" i="6"/>
  <c r="N103" i="6"/>
  <c r="N102" i="6"/>
  <c r="N101" i="6"/>
  <c r="N100" i="6"/>
  <c r="N99" i="6"/>
  <c r="N98" i="6"/>
  <c r="N97" i="6"/>
  <c r="N96" i="6"/>
  <c r="N95" i="6"/>
  <c r="N94" i="6"/>
  <c r="N93" i="6"/>
  <c r="N92" i="6"/>
  <c r="N91" i="6"/>
  <c r="N90" i="6"/>
  <c r="N89" i="6"/>
  <c r="N88" i="6"/>
  <c r="N87" i="6"/>
  <c r="N86" i="6"/>
  <c r="N85" i="6"/>
  <c r="N84" i="6"/>
  <c r="N83" i="6"/>
  <c r="N82" i="6"/>
  <c r="N81" i="6"/>
  <c r="N80" i="6"/>
  <c r="N79" i="6"/>
  <c r="N78" i="6"/>
  <c r="N77" i="6"/>
  <c r="N76" i="6"/>
  <c r="N75" i="6"/>
  <c r="N74" i="6"/>
  <c r="N73" i="6"/>
  <c r="N72" i="6"/>
  <c r="N71" i="6"/>
  <c r="N70" i="6"/>
  <c r="N69" i="6"/>
  <c r="N68" i="6"/>
  <c r="N67" i="6"/>
  <c r="N66" i="6"/>
  <c r="N65" i="6"/>
  <c r="N64" i="6"/>
  <c r="N63" i="6"/>
  <c r="N62" i="6"/>
  <c r="N61" i="6"/>
  <c r="N60" i="6"/>
  <c r="N59" i="6"/>
  <c r="N58" i="6"/>
  <c r="N57" i="6"/>
  <c r="N56" i="6"/>
  <c r="N55" i="6"/>
  <c r="N54" i="6"/>
  <c r="N53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T19" i="6"/>
  <c r="U19" i="6" s="1"/>
  <c r="V19" i="6" s="1"/>
  <c r="W19" i="6" s="1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" i="6"/>
  <c r="N4" i="6"/>
  <c r="N3" i="6"/>
  <c r="P131" i="5"/>
  <c r="O131" i="5"/>
  <c r="G131" i="5"/>
  <c r="E131" i="5"/>
  <c r="AB130" i="5"/>
  <c r="AA130" i="5"/>
  <c r="W130" i="5"/>
  <c r="V130" i="5"/>
  <c r="P130" i="5"/>
  <c r="O130" i="5"/>
  <c r="N130" i="5"/>
  <c r="M130" i="5"/>
  <c r="N131" i="5" s="1"/>
  <c r="L130" i="5"/>
  <c r="K130" i="5"/>
  <c r="I130" i="5"/>
  <c r="H130" i="5"/>
  <c r="G130" i="5"/>
  <c r="U130" i="5" s="1"/>
  <c r="F130" i="5"/>
  <c r="E130" i="5"/>
  <c r="Z130" i="5" s="1"/>
  <c r="D130" i="5"/>
  <c r="R130" i="5" s="1"/>
  <c r="G125" i="5"/>
  <c r="F124" i="5"/>
  <c r="AB123" i="5"/>
  <c r="V123" i="5"/>
  <c r="S123" i="5"/>
  <c r="O123" i="5"/>
  <c r="N123" i="5"/>
  <c r="U123" i="5" s="1"/>
  <c r="M123" i="5"/>
  <c r="T123" i="5" s="1"/>
  <c r="L123" i="5"/>
  <c r="K123" i="5"/>
  <c r="H123" i="5"/>
  <c r="AC123" i="5" s="1"/>
  <c r="G123" i="5"/>
  <c r="F123" i="5"/>
  <c r="E123" i="5"/>
  <c r="AA123" i="5" s="1"/>
  <c r="D123" i="5"/>
  <c r="AB122" i="5"/>
  <c r="S122" i="5"/>
  <c r="R122" i="5"/>
  <c r="O122" i="5"/>
  <c r="V122" i="5" s="1"/>
  <c r="N122" i="5"/>
  <c r="U122" i="5" s="1"/>
  <c r="M122" i="5"/>
  <c r="T122" i="5" s="1"/>
  <c r="L122" i="5"/>
  <c r="K122" i="5"/>
  <c r="H122" i="5"/>
  <c r="AC122" i="5" s="1"/>
  <c r="G122" i="5"/>
  <c r="F122" i="5"/>
  <c r="E122" i="5"/>
  <c r="AA122" i="5" s="1"/>
  <c r="D122" i="5"/>
  <c r="AD121" i="5"/>
  <c r="AC121" i="5"/>
  <c r="AB121" i="5"/>
  <c r="AA121" i="5"/>
  <c r="O121" i="5"/>
  <c r="N121" i="5"/>
  <c r="U121" i="5" s="1"/>
  <c r="M121" i="5"/>
  <c r="T121" i="5" s="1"/>
  <c r="L121" i="5"/>
  <c r="S121" i="5" s="1"/>
  <c r="K121" i="5"/>
  <c r="R121" i="5" s="1"/>
  <c r="I121" i="5"/>
  <c r="H121" i="5"/>
  <c r="V121" i="5" s="1"/>
  <c r="G121" i="5"/>
  <c r="F121" i="5"/>
  <c r="E121" i="5"/>
  <c r="Z121" i="5" s="1"/>
  <c r="D121" i="5"/>
  <c r="AB120" i="5"/>
  <c r="V120" i="5"/>
  <c r="O120" i="5"/>
  <c r="N120" i="5"/>
  <c r="U120" i="5" s="1"/>
  <c r="M120" i="5"/>
  <c r="T120" i="5" s="1"/>
  <c r="L120" i="5"/>
  <c r="K120" i="5"/>
  <c r="R120" i="5" s="1"/>
  <c r="H120" i="5"/>
  <c r="AC120" i="5" s="1"/>
  <c r="G120" i="5"/>
  <c r="F120" i="5"/>
  <c r="E120" i="5"/>
  <c r="AA120" i="5" s="1"/>
  <c r="D120" i="5"/>
  <c r="AB119" i="5"/>
  <c r="S119" i="5"/>
  <c r="R119" i="5"/>
  <c r="O119" i="5"/>
  <c r="V119" i="5" s="1"/>
  <c r="N119" i="5"/>
  <c r="U119" i="5" s="1"/>
  <c r="M119" i="5"/>
  <c r="T119" i="5" s="1"/>
  <c r="L119" i="5"/>
  <c r="K119" i="5"/>
  <c r="H119" i="5"/>
  <c r="AC119" i="5" s="1"/>
  <c r="G119" i="5"/>
  <c r="F119" i="5"/>
  <c r="E119" i="5"/>
  <c r="AA119" i="5" s="1"/>
  <c r="D119" i="5"/>
  <c r="AC118" i="5"/>
  <c r="AB118" i="5"/>
  <c r="AA118" i="5"/>
  <c r="O118" i="5"/>
  <c r="V118" i="5" s="1"/>
  <c r="N118" i="5"/>
  <c r="U118" i="5" s="1"/>
  <c r="M118" i="5"/>
  <c r="T118" i="5" s="1"/>
  <c r="L118" i="5"/>
  <c r="S118" i="5" s="1"/>
  <c r="K118" i="5"/>
  <c r="R118" i="5" s="1"/>
  <c r="I118" i="5"/>
  <c r="AD118" i="5" s="1"/>
  <c r="H118" i="5"/>
  <c r="G118" i="5"/>
  <c r="F118" i="5"/>
  <c r="E118" i="5"/>
  <c r="Z118" i="5" s="1"/>
  <c r="D118" i="5"/>
  <c r="AC117" i="5"/>
  <c r="AB117" i="5"/>
  <c r="Z117" i="5"/>
  <c r="V117" i="5"/>
  <c r="O117" i="5"/>
  <c r="N117" i="5"/>
  <c r="U117" i="5" s="1"/>
  <c r="M117" i="5"/>
  <c r="T117" i="5" s="1"/>
  <c r="L117" i="5"/>
  <c r="K117" i="5"/>
  <c r="H117" i="5"/>
  <c r="G117" i="5"/>
  <c r="F117" i="5"/>
  <c r="E117" i="5"/>
  <c r="D117" i="5"/>
  <c r="AB116" i="5"/>
  <c r="S116" i="5"/>
  <c r="R116" i="5"/>
  <c r="O116" i="5"/>
  <c r="V116" i="5" s="1"/>
  <c r="N116" i="5"/>
  <c r="U116" i="5" s="1"/>
  <c r="M116" i="5"/>
  <c r="T116" i="5" s="1"/>
  <c r="L116" i="5"/>
  <c r="K116" i="5"/>
  <c r="H116" i="5"/>
  <c r="AC116" i="5" s="1"/>
  <c r="G116" i="5"/>
  <c r="F116" i="5"/>
  <c r="E116" i="5"/>
  <c r="AA116" i="5" s="1"/>
  <c r="D116" i="5"/>
  <c r="AB115" i="5"/>
  <c r="AA115" i="5"/>
  <c r="O115" i="5"/>
  <c r="N115" i="5"/>
  <c r="U115" i="5" s="1"/>
  <c r="M115" i="5"/>
  <c r="T115" i="5" s="1"/>
  <c r="L115" i="5"/>
  <c r="S115" i="5" s="1"/>
  <c r="K115" i="5"/>
  <c r="R115" i="5" s="1"/>
  <c r="I115" i="5"/>
  <c r="H115" i="5"/>
  <c r="AC115" i="5" s="1"/>
  <c r="G115" i="5"/>
  <c r="F115" i="5"/>
  <c r="E115" i="5"/>
  <c r="Z115" i="5" s="1"/>
  <c r="D115" i="5"/>
  <c r="AC114" i="5"/>
  <c r="AB114" i="5"/>
  <c r="V114" i="5"/>
  <c r="S114" i="5"/>
  <c r="O114" i="5"/>
  <c r="N114" i="5"/>
  <c r="U114" i="5" s="1"/>
  <c r="M114" i="5"/>
  <c r="T114" i="5" s="1"/>
  <c r="L114" i="5"/>
  <c r="K114" i="5"/>
  <c r="R114" i="5" s="1"/>
  <c r="H114" i="5"/>
  <c r="G114" i="5"/>
  <c r="F114" i="5"/>
  <c r="E114" i="5"/>
  <c r="AA114" i="5" s="1"/>
  <c r="D114" i="5"/>
  <c r="AB113" i="5"/>
  <c r="S113" i="5"/>
  <c r="R113" i="5"/>
  <c r="O113" i="5"/>
  <c r="V113" i="5" s="1"/>
  <c r="N113" i="5"/>
  <c r="M113" i="5"/>
  <c r="T113" i="5" s="1"/>
  <c r="L113" i="5"/>
  <c r="K113" i="5"/>
  <c r="H113" i="5"/>
  <c r="AC113" i="5" s="1"/>
  <c r="G113" i="5"/>
  <c r="F113" i="5"/>
  <c r="E113" i="5"/>
  <c r="AA113" i="5" s="1"/>
  <c r="D113" i="5"/>
  <c r="AC112" i="5"/>
  <c r="AB112" i="5"/>
  <c r="AA112" i="5"/>
  <c r="O112" i="5"/>
  <c r="N112" i="5"/>
  <c r="U112" i="5" s="1"/>
  <c r="M112" i="5"/>
  <c r="T112" i="5" s="1"/>
  <c r="L112" i="5"/>
  <c r="S112" i="5" s="1"/>
  <c r="K112" i="5"/>
  <c r="R112" i="5" s="1"/>
  <c r="H112" i="5"/>
  <c r="G112" i="5"/>
  <c r="F112" i="5"/>
  <c r="E112" i="5"/>
  <c r="Z112" i="5" s="1"/>
  <c r="D112" i="5"/>
  <c r="AB111" i="5"/>
  <c r="AA111" i="5"/>
  <c r="Z111" i="5"/>
  <c r="O111" i="5"/>
  <c r="N111" i="5"/>
  <c r="U111" i="5" s="1"/>
  <c r="M111" i="5"/>
  <c r="T111" i="5" s="1"/>
  <c r="L111" i="5"/>
  <c r="S111" i="5" s="1"/>
  <c r="K111" i="5"/>
  <c r="R111" i="5" s="1"/>
  <c r="I111" i="5"/>
  <c r="H111" i="5"/>
  <c r="G111" i="5"/>
  <c r="F111" i="5"/>
  <c r="E111" i="5"/>
  <c r="D111" i="5"/>
  <c r="B111" i="5"/>
  <c r="B112" i="5" s="1"/>
  <c r="B113" i="5" s="1"/>
  <c r="B114" i="5" s="1"/>
  <c r="B115" i="5" s="1"/>
  <c r="B116" i="5" s="1"/>
  <c r="B117" i="5" s="1"/>
  <c r="B118" i="5" s="1"/>
  <c r="B119" i="5" s="1"/>
  <c r="B120" i="5" s="1"/>
  <c r="B121" i="5" s="1"/>
  <c r="B122" i="5" s="1"/>
  <c r="B123" i="5" s="1"/>
  <c r="AB110" i="5"/>
  <c r="V110" i="5"/>
  <c r="S110" i="5"/>
  <c r="R110" i="5"/>
  <c r="O110" i="5"/>
  <c r="N110" i="5"/>
  <c r="U110" i="5" s="1"/>
  <c r="M110" i="5"/>
  <c r="T110" i="5" s="1"/>
  <c r="L110" i="5"/>
  <c r="K110" i="5"/>
  <c r="H110" i="5"/>
  <c r="AC110" i="5" s="1"/>
  <c r="G110" i="5"/>
  <c r="F110" i="5"/>
  <c r="E110" i="5"/>
  <c r="D110" i="5"/>
  <c r="B110" i="5"/>
  <c r="AB109" i="5"/>
  <c r="R109" i="5"/>
  <c r="O109" i="5"/>
  <c r="V109" i="5" s="1"/>
  <c r="N109" i="5"/>
  <c r="U109" i="5" s="1"/>
  <c r="M109" i="5"/>
  <c r="T109" i="5" s="1"/>
  <c r="L109" i="5"/>
  <c r="K109" i="5"/>
  <c r="H109" i="5"/>
  <c r="G109" i="5"/>
  <c r="G124" i="5" s="1"/>
  <c r="AB124" i="5" s="1"/>
  <c r="F109" i="5"/>
  <c r="E109" i="5"/>
  <c r="S109" i="5" s="1"/>
  <c r="D109" i="5"/>
  <c r="P106" i="5"/>
  <c r="O106" i="5"/>
  <c r="N106" i="5"/>
  <c r="M106" i="5"/>
  <c r="L106" i="5"/>
  <c r="I106" i="5"/>
  <c r="H106" i="5"/>
  <c r="G106" i="5"/>
  <c r="F106" i="5"/>
  <c r="E106" i="5"/>
  <c r="AD105" i="5"/>
  <c r="AC105" i="5"/>
  <c r="AB105" i="5"/>
  <c r="AA105" i="5"/>
  <c r="Z105" i="5"/>
  <c r="W105" i="5"/>
  <c r="V105" i="5"/>
  <c r="U105" i="5"/>
  <c r="T105" i="5"/>
  <c r="S105" i="5"/>
  <c r="R105" i="5"/>
  <c r="K102" i="5"/>
  <c r="I102" i="5"/>
  <c r="F102" i="5"/>
  <c r="E102" i="5"/>
  <c r="D102" i="5"/>
  <c r="F100" i="5"/>
  <c r="AA99" i="5"/>
  <c r="O99" i="5"/>
  <c r="O100" i="5" s="1"/>
  <c r="N99" i="5"/>
  <c r="M99" i="5"/>
  <c r="L99" i="5"/>
  <c r="K99" i="5"/>
  <c r="H99" i="5"/>
  <c r="G99" i="5"/>
  <c r="F99" i="5"/>
  <c r="E99" i="5"/>
  <c r="D99" i="5"/>
  <c r="R99" i="5" s="1"/>
  <c r="AC98" i="5"/>
  <c r="AB98" i="5"/>
  <c r="AA98" i="5"/>
  <c r="Z98" i="5"/>
  <c r="V98" i="5"/>
  <c r="U98" i="5"/>
  <c r="T98" i="5"/>
  <c r="S98" i="5"/>
  <c r="R98" i="5"/>
  <c r="P98" i="5"/>
  <c r="I98" i="5"/>
  <c r="AC97" i="5"/>
  <c r="AB97" i="5"/>
  <c r="AA97" i="5"/>
  <c r="Z97" i="5"/>
  <c r="V97" i="5"/>
  <c r="U97" i="5"/>
  <c r="T97" i="5"/>
  <c r="S97" i="5"/>
  <c r="R97" i="5"/>
  <c r="I97" i="5"/>
  <c r="P97" i="5" s="1"/>
  <c r="AC96" i="5"/>
  <c r="AB96" i="5"/>
  <c r="AA96" i="5"/>
  <c r="Z96" i="5"/>
  <c r="V96" i="5"/>
  <c r="U96" i="5"/>
  <c r="T96" i="5"/>
  <c r="S96" i="5"/>
  <c r="R96" i="5"/>
  <c r="I96" i="5"/>
  <c r="P96" i="5" s="1"/>
  <c r="AC95" i="5"/>
  <c r="AB95" i="5"/>
  <c r="AA95" i="5"/>
  <c r="Z95" i="5"/>
  <c r="V95" i="5"/>
  <c r="U95" i="5"/>
  <c r="T95" i="5"/>
  <c r="S95" i="5"/>
  <c r="R95" i="5"/>
  <c r="I95" i="5"/>
  <c r="P95" i="5" s="1"/>
  <c r="AC94" i="5"/>
  <c r="AB94" i="5"/>
  <c r="AA94" i="5"/>
  <c r="Z94" i="5"/>
  <c r="V94" i="5"/>
  <c r="U94" i="5"/>
  <c r="T94" i="5"/>
  <c r="S94" i="5"/>
  <c r="R94" i="5"/>
  <c r="I94" i="5"/>
  <c r="P94" i="5" s="1"/>
  <c r="AC93" i="5"/>
  <c r="AB93" i="5"/>
  <c r="AA93" i="5"/>
  <c r="Z93" i="5"/>
  <c r="V93" i="5"/>
  <c r="U93" i="5"/>
  <c r="T93" i="5"/>
  <c r="S93" i="5"/>
  <c r="R93" i="5"/>
  <c r="I93" i="5"/>
  <c r="P93" i="5" s="1"/>
  <c r="AC92" i="5"/>
  <c r="AB92" i="5"/>
  <c r="AA92" i="5"/>
  <c r="Z92" i="5"/>
  <c r="V92" i="5"/>
  <c r="U92" i="5"/>
  <c r="T92" i="5"/>
  <c r="S92" i="5"/>
  <c r="R92" i="5"/>
  <c r="I92" i="5"/>
  <c r="P92" i="5" s="1"/>
  <c r="AC91" i="5"/>
  <c r="AB91" i="5"/>
  <c r="AA91" i="5"/>
  <c r="Z91" i="5"/>
  <c r="V91" i="5"/>
  <c r="U91" i="5"/>
  <c r="T91" i="5"/>
  <c r="S91" i="5"/>
  <c r="R91" i="5"/>
  <c r="I91" i="5"/>
  <c r="P91" i="5" s="1"/>
  <c r="AC90" i="5"/>
  <c r="AB90" i="5"/>
  <c r="AA90" i="5"/>
  <c r="Z90" i="5"/>
  <c r="V90" i="5"/>
  <c r="U90" i="5"/>
  <c r="T90" i="5"/>
  <c r="S90" i="5"/>
  <c r="R90" i="5"/>
  <c r="I90" i="5"/>
  <c r="P90" i="5" s="1"/>
  <c r="AC89" i="5"/>
  <c r="AB89" i="5"/>
  <c r="AA89" i="5"/>
  <c r="Z89" i="5"/>
  <c r="V89" i="5"/>
  <c r="U89" i="5"/>
  <c r="T89" i="5"/>
  <c r="S89" i="5"/>
  <c r="R89" i="5"/>
  <c r="I89" i="5"/>
  <c r="P89" i="5" s="1"/>
  <c r="AC88" i="5"/>
  <c r="AB88" i="5"/>
  <c r="AA88" i="5"/>
  <c r="Z88" i="5"/>
  <c r="V88" i="5"/>
  <c r="U88" i="5"/>
  <c r="T88" i="5"/>
  <c r="S88" i="5"/>
  <c r="R88" i="5"/>
  <c r="I88" i="5"/>
  <c r="P88" i="5" s="1"/>
  <c r="AC87" i="5"/>
  <c r="AB87" i="5"/>
  <c r="AA87" i="5"/>
  <c r="Z87" i="5"/>
  <c r="V87" i="5"/>
  <c r="U87" i="5"/>
  <c r="T87" i="5"/>
  <c r="S87" i="5"/>
  <c r="R87" i="5"/>
  <c r="I87" i="5"/>
  <c r="P87" i="5" s="1"/>
  <c r="AC86" i="5"/>
  <c r="AB86" i="5"/>
  <c r="AA86" i="5"/>
  <c r="Z86" i="5"/>
  <c r="V86" i="5"/>
  <c r="U86" i="5"/>
  <c r="T86" i="5"/>
  <c r="S86" i="5"/>
  <c r="R86" i="5"/>
  <c r="I86" i="5"/>
  <c r="P86" i="5" s="1"/>
  <c r="AC85" i="5"/>
  <c r="AB85" i="5"/>
  <c r="AA85" i="5"/>
  <c r="Z85" i="5"/>
  <c r="V85" i="5"/>
  <c r="U85" i="5"/>
  <c r="T85" i="5"/>
  <c r="S85" i="5"/>
  <c r="R85" i="5"/>
  <c r="I85" i="5"/>
  <c r="P85" i="5" s="1"/>
  <c r="B85" i="5"/>
  <c r="B86" i="5" s="1"/>
  <c r="B87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AC84" i="5"/>
  <c r="AB84" i="5"/>
  <c r="AA84" i="5"/>
  <c r="Z84" i="5"/>
  <c r="V84" i="5"/>
  <c r="U84" i="5"/>
  <c r="T84" i="5"/>
  <c r="S84" i="5"/>
  <c r="R84" i="5"/>
  <c r="I84" i="5"/>
  <c r="I99" i="5" s="1"/>
  <c r="P81" i="5"/>
  <c r="O81" i="5"/>
  <c r="N81" i="5"/>
  <c r="M81" i="5"/>
  <c r="L81" i="5"/>
  <c r="I81" i="5"/>
  <c r="H81" i="5"/>
  <c r="G81" i="5"/>
  <c r="F81" i="5"/>
  <c r="E81" i="5"/>
  <c r="AD80" i="5"/>
  <c r="AC80" i="5"/>
  <c r="AB80" i="5"/>
  <c r="AA80" i="5"/>
  <c r="Z80" i="5"/>
  <c r="W80" i="5"/>
  <c r="V80" i="5"/>
  <c r="U80" i="5"/>
  <c r="T80" i="5"/>
  <c r="S80" i="5"/>
  <c r="R80" i="5"/>
  <c r="M77" i="5"/>
  <c r="L77" i="5"/>
  <c r="K77" i="5"/>
  <c r="I77" i="5"/>
  <c r="H77" i="5"/>
  <c r="M75" i="5"/>
  <c r="L75" i="5"/>
  <c r="H75" i="5"/>
  <c r="G75" i="5"/>
  <c r="F75" i="5"/>
  <c r="O74" i="5"/>
  <c r="N74" i="5"/>
  <c r="M74" i="5"/>
  <c r="L74" i="5"/>
  <c r="K74" i="5"/>
  <c r="H74" i="5"/>
  <c r="AC74" i="5" s="1"/>
  <c r="G74" i="5"/>
  <c r="AB74" i="5" s="1"/>
  <c r="F74" i="5"/>
  <c r="E74" i="5"/>
  <c r="E104" i="3" s="1"/>
  <c r="D74" i="5"/>
  <c r="R74" i="5" s="1"/>
  <c r="AC73" i="5"/>
  <c r="AB73" i="5"/>
  <c r="AA73" i="5"/>
  <c r="Z73" i="5"/>
  <c r="V73" i="5"/>
  <c r="U73" i="5"/>
  <c r="T73" i="5"/>
  <c r="S73" i="5"/>
  <c r="R73" i="5"/>
  <c r="I73" i="5"/>
  <c r="P73" i="5" s="1"/>
  <c r="AC72" i="5"/>
  <c r="AB72" i="5"/>
  <c r="AA72" i="5"/>
  <c r="Z72" i="5"/>
  <c r="V72" i="5"/>
  <c r="U72" i="5"/>
  <c r="T72" i="5"/>
  <c r="S72" i="5"/>
  <c r="R72" i="5"/>
  <c r="I72" i="5"/>
  <c r="P72" i="5" s="1"/>
  <c r="AC71" i="5"/>
  <c r="AB71" i="5"/>
  <c r="AA71" i="5"/>
  <c r="Z71" i="5"/>
  <c r="V71" i="5"/>
  <c r="U71" i="5"/>
  <c r="T71" i="5"/>
  <c r="S71" i="5"/>
  <c r="R71" i="5"/>
  <c r="I71" i="5"/>
  <c r="AC70" i="5"/>
  <c r="AB70" i="5"/>
  <c r="AA70" i="5"/>
  <c r="Z70" i="5"/>
  <c r="V70" i="5"/>
  <c r="U70" i="5"/>
  <c r="T70" i="5"/>
  <c r="S70" i="5"/>
  <c r="R70" i="5"/>
  <c r="P70" i="5"/>
  <c r="I70" i="5"/>
  <c r="AC69" i="5"/>
  <c r="AB69" i="5"/>
  <c r="AA69" i="5"/>
  <c r="Z69" i="5"/>
  <c r="V69" i="5"/>
  <c r="U69" i="5"/>
  <c r="T69" i="5"/>
  <c r="S69" i="5"/>
  <c r="R69" i="5"/>
  <c r="P69" i="5"/>
  <c r="I69" i="5"/>
  <c r="AC68" i="5"/>
  <c r="AB68" i="5"/>
  <c r="AA68" i="5"/>
  <c r="Z68" i="5"/>
  <c r="V68" i="5"/>
  <c r="U68" i="5"/>
  <c r="T68" i="5"/>
  <c r="S68" i="5"/>
  <c r="R68" i="5"/>
  <c r="P68" i="5"/>
  <c r="I68" i="5"/>
  <c r="AC67" i="5"/>
  <c r="AB67" i="5"/>
  <c r="AA67" i="5"/>
  <c r="Z67" i="5"/>
  <c r="V67" i="5"/>
  <c r="U67" i="5"/>
  <c r="T67" i="5"/>
  <c r="S67" i="5"/>
  <c r="R67" i="5"/>
  <c r="P67" i="5"/>
  <c r="I67" i="5"/>
  <c r="AC66" i="5"/>
  <c r="AB66" i="5"/>
  <c r="AA66" i="5"/>
  <c r="Z66" i="5"/>
  <c r="V66" i="5"/>
  <c r="U66" i="5"/>
  <c r="T66" i="5"/>
  <c r="S66" i="5"/>
  <c r="R66" i="5"/>
  <c r="P66" i="5"/>
  <c r="P74" i="5" s="1"/>
  <c r="I66" i="5"/>
  <c r="AC65" i="5"/>
  <c r="AB65" i="5"/>
  <c r="AA65" i="5"/>
  <c r="Z65" i="5"/>
  <c r="V65" i="5"/>
  <c r="U65" i="5"/>
  <c r="T65" i="5"/>
  <c r="S65" i="5"/>
  <c r="R65" i="5"/>
  <c r="P65" i="5"/>
  <c r="I65" i="5"/>
  <c r="AC64" i="5"/>
  <c r="AB64" i="5"/>
  <c r="AA64" i="5"/>
  <c r="Z64" i="5"/>
  <c r="V64" i="5"/>
  <c r="U64" i="5"/>
  <c r="T64" i="5"/>
  <c r="S64" i="5"/>
  <c r="R64" i="5"/>
  <c r="P64" i="5"/>
  <c r="I64" i="5"/>
  <c r="AC63" i="5"/>
  <c r="AB63" i="5"/>
  <c r="AA63" i="5"/>
  <c r="Z63" i="5"/>
  <c r="V63" i="5"/>
  <c r="U63" i="5"/>
  <c r="T63" i="5"/>
  <c r="S63" i="5"/>
  <c r="R63" i="5"/>
  <c r="P63" i="5"/>
  <c r="I63" i="5"/>
  <c r="AC62" i="5"/>
  <c r="AB62" i="5"/>
  <c r="AA62" i="5"/>
  <c r="Z62" i="5"/>
  <c r="V62" i="5"/>
  <c r="U62" i="5"/>
  <c r="T62" i="5"/>
  <c r="S62" i="5"/>
  <c r="R62" i="5"/>
  <c r="P62" i="5"/>
  <c r="I62" i="5"/>
  <c r="AC61" i="5"/>
  <c r="AB61" i="5"/>
  <c r="AA61" i="5"/>
  <c r="Z61" i="5"/>
  <c r="V61" i="5"/>
  <c r="U61" i="5"/>
  <c r="T61" i="5"/>
  <c r="S61" i="5"/>
  <c r="R61" i="5"/>
  <c r="P61" i="5"/>
  <c r="I61" i="5"/>
  <c r="AC60" i="5"/>
  <c r="AB60" i="5"/>
  <c r="AA60" i="5"/>
  <c r="Z60" i="5"/>
  <c r="V60" i="5"/>
  <c r="U60" i="5"/>
  <c r="T60" i="5"/>
  <c r="S60" i="5"/>
  <c r="R60" i="5"/>
  <c r="P60" i="5"/>
  <c r="I60" i="5"/>
  <c r="B60" i="5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AC59" i="5"/>
  <c r="AB59" i="5"/>
  <c r="AA59" i="5"/>
  <c r="Z59" i="5"/>
  <c r="V59" i="5"/>
  <c r="U59" i="5"/>
  <c r="T59" i="5"/>
  <c r="S59" i="5"/>
  <c r="R59" i="5"/>
  <c r="P59" i="5"/>
  <c r="I59" i="5"/>
  <c r="I74" i="5" s="1"/>
  <c r="P56" i="5"/>
  <c r="O56" i="5"/>
  <c r="N56" i="5"/>
  <c r="M56" i="5"/>
  <c r="L56" i="5"/>
  <c r="I56" i="5"/>
  <c r="H56" i="5"/>
  <c r="G56" i="5"/>
  <c r="F56" i="5"/>
  <c r="E56" i="5"/>
  <c r="AD55" i="5"/>
  <c r="AC55" i="5"/>
  <c r="AB55" i="5"/>
  <c r="AA55" i="5"/>
  <c r="Z55" i="5"/>
  <c r="W55" i="5"/>
  <c r="V55" i="5"/>
  <c r="U55" i="5"/>
  <c r="T55" i="5"/>
  <c r="S55" i="5"/>
  <c r="R55" i="5"/>
  <c r="H53" i="5"/>
  <c r="G53" i="5"/>
  <c r="Z52" i="5"/>
  <c r="T52" i="5"/>
  <c r="M52" i="5"/>
  <c r="H52" i="5"/>
  <c r="AC52" i="5" s="1"/>
  <c r="G52" i="5"/>
  <c r="AB52" i="5" s="1"/>
  <c r="F52" i="5"/>
  <c r="E52" i="5"/>
  <c r="D52" i="5"/>
  <c r="D72" i="3" s="1"/>
  <c r="O50" i="5"/>
  <c r="G50" i="5"/>
  <c r="F50" i="5"/>
  <c r="AC49" i="5"/>
  <c r="AA49" i="5"/>
  <c r="O49" i="5"/>
  <c r="O52" i="5" s="1"/>
  <c r="N49" i="5"/>
  <c r="M49" i="5"/>
  <c r="L49" i="5"/>
  <c r="K49" i="5"/>
  <c r="H49" i="5"/>
  <c r="G49" i="5"/>
  <c r="AB49" i="5" s="1"/>
  <c r="F49" i="5"/>
  <c r="T49" i="5" s="1"/>
  <c r="E49" i="5"/>
  <c r="D49" i="5"/>
  <c r="E50" i="5" s="1"/>
  <c r="AC48" i="5"/>
  <c r="AB48" i="5"/>
  <c r="AA48" i="5"/>
  <c r="Z48" i="5"/>
  <c r="V48" i="5"/>
  <c r="U48" i="5"/>
  <c r="T48" i="5"/>
  <c r="S48" i="5"/>
  <c r="R48" i="5"/>
  <c r="I48" i="5"/>
  <c r="I68" i="3" s="1"/>
  <c r="AC47" i="5"/>
  <c r="AB47" i="5"/>
  <c r="AA47" i="5"/>
  <c r="Z47" i="5"/>
  <c r="V47" i="5"/>
  <c r="U47" i="5"/>
  <c r="T47" i="5"/>
  <c r="S47" i="5"/>
  <c r="R47" i="5"/>
  <c r="I47" i="5"/>
  <c r="I122" i="5" s="1"/>
  <c r="AD122" i="5" s="1"/>
  <c r="AC46" i="5"/>
  <c r="AB46" i="5"/>
  <c r="AA46" i="5"/>
  <c r="Z46" i="5"/>
  <c r="V46" i="5"/>
  <c r="U46" i="5"/>
  <c r="T46" i="5"/>
  <c r="S46" i="5"/>
  <c r="R46" i="5"/>
  <c r="I46" i="5"/>
  <c r="I66" i="3" s="1"/>
  <c r="AC45" i="5"/>
  <c r="AB45" i="5"/>
  <c r="AA45" i="5"/>
  <c r="Z45" i="5"/>
  <c r="V45" i="5"/>
  <c r="U45" i="5"/>
  <c r="T45" i="5"/>
  <c r="S45" i="5"/>
  <c r="R45" i="5"/>
  <c r="I45" i="5"/>
  <c r="P45" i="5" s="1"/>
  <c r="AC44" i="5"/>
  <c r="AB44" i="5"/>
  <c r="AA44" i="5"/>
  <c r="Z44" i="5"/>
  <c r="V44" i="5"/>
  <c r="U44" i="5"/>
  <c r="T44" i="5"/>
  <c r="S44" i="5"/>
  <c r="R44" i="5"/>
  <c r="I44" i="5"/>
  <c r="I64" i="3" s="1"/>
  <c r="AC43" i="5"/>
  <c r="AB43" i="5"/>
  <c r="AA43" i="5"/>
  <c r="Z43" i="5"/>
  <c r="V43" i="5"/>
  <c r="U43" i="5"/>
  <c r="T43" i="5"/>
  <c r="S43" i="5"/>
  <c r="R43" i="5"/>
  <c r="I43" i="5"/>
  <c r="P43" i="5" s="1"/>
  <c r="AC42" i="5"/>
  <c r="AB42" i="5"/>
  <c r="AA42" i="5"/>
  <c r="Z42" i="5"/>
  <c r="V42" i="5"/>
  <c r="U42" i="5"/>
  <c r="T42" i="5"/>
  <c r="S42" i="5"/>
  <c r="R42" i="5"/>
  <c r="I42" i="5"/>
  <c r="I62" i="3" s="1"/>
  <c r="AC41" i="5"/>
  <c r="AB41" i="5"/>
  <c r="AA41" i="5"/>
  <c r="Z41" i="5"/>
  <c r="V41" i="5"/>
  <c r="U41" i="5"/>
  <c r="T41" i="5"/>
  <c r="S41" i="5"/>
  <c r="R41" i="5"/>
  <c r="I41" i="5"/>
  <c r="I116" i="5" s="1"/>
  <c r="AD116" i="5" s="1"/>
  <c r="AC40" i="5"/>
  <c r="AB40" i="5"/>
  <c r="AA40" i="5"/>
  <c r="Z40" i="5"/>
  <c r="V40" i="5"/>
  <c r="U40" i="5"/>
  <c r="T40" i="5"/>
  <c r="S40" i="5"/>
  <c r="R40" i="5"/>
  <c r="I40" i="5"/>
  <c r="AC39" i="5"/>
  <c r="AB39" i="5"/>
  <c r="AA39" i="5"/>
  <c r="Z39" i="5"/>
  <c r="V39" i="5"/>
  <c r="U39" i="5"/>
  <c r="T39" i="5"/>
  <c r="S39" i="5"/>
  <c r="R39" i="5"/>
  <c r="I39" i="5"/>
  <c r="AC38" i="5"/>
  <c r="AB38" i="5"/>
  <c r="AA38" i="5"/>
  <c r="Z38" i="5"/>
  <c r="V38" i="5"/>
  <c r="U38" i="5"/>
  <c r="T38" i="5"/>
  <c r="S38" i="5"/>
  <c r="R38" i="5"/>
  <c r="I38" i="5"/>
  <c r="AC37" i="5"/>
  <c r="AB37" i="5"/>
  <c r="AA37" i="5"/>
  <c r="Z37" i="5"/>
  <c r="V37" i="5"/>
  <c r="U37" i="5"/>
  <c r="T37" i="5"/>
  <c r="S37" i="5"/>
  <c r="R37" i="5"/>
  <c r="I37" i="5"/>
  <c r="I112" i="5" s="1"/>
  <c r="AD112" i="5" s="1"/>
  <c r="AM36" i="5"/>
  <c r="AC36" i="5"/>
  <c r="AB36" i="5"/>
  <c r="AA36" i="5"/>
  <c r="Z36" i="5"/>
  <c r="V36" i="5"/>
  <c r="U36" i="5"/>
  <c r="T36" i="5"/>
  <c r="S36" i="5"/>
  <c r="R36" i="5"/>
  <c r="P36" i="5"/>
  <c r="I36" i="5"/>
  <c r="I56" i="3" s="1"/>
  <c r="AM35" i="5"/>
  <c r="AC35" i="5"/>
  <c r="AB35" i="5"/>
  <c r="AA35" i="5"/>
  <c r="Z35" i="5"/>
  <c r="V35" i="5"/>
  <c r="U35" i="5"/>
  <c r="T35" i="5"/>
  <c r="S35" i="5"/>
  <c r="R35" i="5"/>
  <c r="I35" i="5"/>
  <c r="P35" i="5" s="1"/>
  <c r="B35" i="5"/>
  <c r="B36" i="5" s="1"/>
  <c r="B37" i="5" s="1"/>
  <c r="B38" i="5" s="1"/>
  <c r="B39" i="5" s="1"/>
  <c r="B40" i="5" s="1"/>
  <c r="B41" i="5" s="1"/>
  <c r="B42" i="5" s="1"/>
  <c r="B43" i="5" s="1"/>
  <c r="B44" i="5" s="1"/>
  <c r="B45" i="5" s="1"/>
  <c r="B46" i="5" s="1"/>
  <c r="B47" i="5" s="1"/>
  <c r="B48" i="5" s="1"/>
  <c r="AM34" i="5"/>
  <c r="AC34" i="5"/>
  <c r="AB34" i="5"/>
  <c r="AA34" i="5"/>
  <c r="Z34" i="5"/>
  <c r="V34" i="5"/>
  <c r="U34" i="5"/>
  <c r="T34" i="5"/>
  <c r="S34" i="5"/>
  <c r="R34" i="5"/>
  <c r="I34" i="5"/>
  <c r="P31" i="5"/>
  <c r="O31" i="5"/>
  <c r="N31" i="5"/>
  <c r="M31" i="5"/>
  <c r="L31" i="5"/>
  <c r="I31" i="5"/>
  <c r="H31" i="5"/>
  <c r="G31" i="5"/>
  <c r="F31" i="5"/>
  <c r="E31" i="5"/>
  <c r="AD30" i="5"/>
  <c r="AC30" i="5"/>
  <c r="AB30" i="5"/>
  <c r="AA30" i="5"/>
  <c r="Z30" i="5"/>
  <c r="W30" i="5"/>
  <c r="V30" i="5"/>
  <c r="U30" i="5"/>
  <c r="T30" i="5"/>
  <c r="S30" i="5"/>
  <c r="R30" i="5"/>
  <c r="N28" i="5"/>
  <c r="N27" i="5"/>
  <c r="U27" i="5" s="1"/>
  <c r="K27" i="5"/>
  <c r="G27" i="5"/>
  <c r="F27" i="5"/>
  <c r="AA27" i="5" s="1"/>
  <c r="E27" i="5"/>
  <c r="F25" i="5"/>
  <c r="E25" i="5"/>
  <c r="AC24" i="5"/>
  <c r="AB24" i="5"/>
  <c r="AA24" i="5"/>
  <c r="O24" i="5"/>
  <c r="N24" i="5"/>
  <c r="M24" i="5"/>
  <c r="M27" i="5" s="1"/>
  <c r="T27" i="5" s="1"/>
  <c r="L24" i="5"/>
  <c r="K24" i="5"/>
  <c r="R24" i="5" s="1"/>
  <c r="H24" i="5"/>
  <c r="H27" i="5" s="1"/>
  <c r="G24" i="5"/>
  <c r="F24" i="5"/>
  <c r="E24" i="5"/>
  <c r="D24" i="5"/>
  <c r="Z24" i="5" s="1"/>
  <c r="AC23" i="5"/>
  <c r="AB23" i="5"/>
  <c r="AA23" i="5"/>
  <c r="Z23" i="5"/>
  <c r="V23" i="5"/>
  <c r="U23" i="5"/>
  <c r="T23" i="5"/>
  <c r="S23" i="5"/>
  <c r="R23" i="5"/>
  <c r="P23" i="5"/>
  <c r="I23" i="5"/>
  <c r="AC22" i="5"/>
  <c r="AB22" i="5"/>
  <c r="AA22" i="5"/>
  <c r="Z22" i="5"/>
  <c r="V22" i="5"/>
  <c r="U22" i="5"/>
  <c r="T22" i="5"/>
  <c r="S22" i="5"/>
  <c r="R22" i="5"/>
  <c r="P22" i="5"/>
  <c r="I22" i="5"/>
  <c r="AC21" i="5"/>
  <c r="AB21" i="5"/>
  <c r="AA21" i="5"/>
  <c r="Z21" i="5"/>
  <c r="V21" i="5"/>
  <c r="U21" i="5"/>
  <c r="T21" i="5"/>
  <c r="S21" i="5"/>
  <c r="R21" i="5"/>
  <c r="P21" i="5"/>
  <c r="I21" i="5"/>
  <c r="AC20" i="5"/>
  <c r="AB20" i="5"/>
  <c r="AA20" i="5"/>
  <c r="Z20" i="5"/>
  <c r="V20" i="5"/>
  <c r="U20" i="5"/>
  <c r="T20" i="5"/>
  <c r="S20" i="5"/>
  <c r="R20" i="5"/>
  <c r="P20" i="5"/>
  <c r="I20" i="5"/>
  <c r="AC19" i="5"/>
  <c r="AB19" i="5"/>
  <c r="AA19" i="5"/>
  <c r="Z19" i="5"/>
  <c r="V19" i="5"/>
  <c r="U19" i="5"/>
  <c r="T19" i="5"/>
  <c r="S19" i="5"/>
  <c r="R19" i="5"/>
  <c r="P19" i="5"/>
  <c r="I19" i="5"/>
  <c r="AC18" i="5"/>
  <c r="AB18" i="5"/>
  <c r="AA18" i="5"/>
  <c r="Z18" i="5"/>
  <c r="V18" i="5"/>
  <c r="U18" i="5"/>
  <c r="T18" i="5"/>
  <c r="S18" i="5"/>
  <c r="R18" i="5"/>
  <c r="P18" i="5"/>
  <c r="I18" i="5"/>
  <c r="AC17" i="5"/>
  <c r="AB17" i="5"/>
  <c r="AA17" i="5"/>
  <c r="Z17" i="5"/>
  <c r="V17" i="5"/>
  <c r="U17" i="5"/>
  <c r="T17" i="5"/>
  <c r="S17" i="5"/>
  <c r="R17" i="5"/>
  <c r="P17" i="5"/>
  <c r="I17" i="5"/>
  <c r="AC16" i="5"/>
  <c r="AB16" i="5"/>
  <c r="AA16" i="5"/>
  <c r="Z16" i="5"/>
  <c r="V16" i="5"/>
  <c r="U16" i="5"/>
  <c r="T16" i="5"/>
  <c r="S16" i="5"/>
  <c r="R16" i="5"/>
  <c r="P16" i="5"/>
  <c r="I16" i="5"/>
  <c r="AC15" i="5"/>
  <c r="AB15" i="5"/>
  <c r="AA15" i="5"/>
  <c r="Z15" i="5"/>
  <c r="V15" i="5"/>
  <c r="U15" i="5"/>
  <c r="T15" i="5"/>
  <c r="S15" i="5"/>
  <c r="R15" i="5"/>
  <c r="P15" i="5"/>
  <c r="I15" i="5"/>
  <c r="AC14" i="5"/>
  <c r="AB14" i="5"/>
  <c r="AA14" i="5"/>
  <c r="Z14" i="5"/>
  <c r="V14" i="5"/>
  <c r="U14" i="5"/>
  <c r="T14" i="5"/>
  <c r="S14" i="5"/>
  <c r="R14" i="5"/>
  <c r="P14" i="5"/>
  <c r="I14" i="5"/>
  <c r="AC13" i="5"/>
  <c r="AB13" i="5"/>
  <c r="AA13" i="5"/>
  <c r="Z13" i="5"/>
  <c r="V13" i="5"/>
  <c r="U13" i="5"/>
  <c r="T13" i="5"/>
  <c r="S13" i="5"/>
  <c r="R13" i="5"/>
  <c r="P13" i="5"/>
  <c r="I13" i="5"/>
  <c r="AC12" i="5"/>
  <c r="AB12" i="5"/>
  <c r="AA12" i="5"/>
  <c r="Z12" i="5"/>
  <c r="V12" i="5"/>
  <c r="U12" i="5"/>
  <c r="T12" i="5"/>
  <c r="S12" i="5"/>
  <c r="R12" i="5"/>
  <c r="P12" i="5"/>
  <c r="I12" i="5"/>
  <c r="AC11" i="5"/>
  <c r="AB11" i="5"/>
  <c r="AA11" i="5"/>
  <c r="Z11" i="5"/>
  <c r="V11" i="5"/>
  <c r="U11" i="5"/>
  <c r="T11" i="5"/>
  <c r="S11" i="5"/>
  <c r="R11" i="5"/>
  <c r="P11" i="5"/>
  <c r="I11" i="5"/>
  <c r="AC10" i="5"/>
  <c r="AB10" i="5"/>
  <c r="AA10" i="5"/>
  <c r="Z10" i="5"/>
  <c r="V10" i="5"/>
  <c r="U10" i="5"/>
  <c r="T10" i="5"/>
  <c r="S10" i="5"/>
  <c r="R10" i="5"/>
  <c r="I10" i="5"/>
  <c r="B10" i="5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AC9" i="5"/>
  <c r="AB9" i="5"/>
  <c r="AA9" i="5"/>
  <c r="Z9" i="5"/>
  <c r="V9" i="5"/>
  <c r="U9" i="5"/>
  <c r="T9" i="5"/>
  <c r="S9" i="5"/>
  <c r="R9" i="5"/>
  <c r="I9" i="5"/>
  <c r="L139" i="3"/>
  <c r="K139" i="3"/>
  <c r="K137" i="3" s="1"/>
  <c r="J137" i="3"/>
  <c r="J85" i="3" s="1"/>
  <c r="K135" i="3"/>
  <c r="L135" i="3" s="1"/>
  <c r="M135" i="3" s="1"/>
  <c r="N135" i="3" s="1"/>
  <c r="L134" i="3"/>
  <c r="L132" i="3" s="1"/>
  <c r="K134" i="3"/>
  <c r="K132" i="3" s="1"/>
  <c r="J132" i="3"/>
  <c r="K120" i="3"/>
  <c r="J120" i="3"/>
  <c r="N114" i="3"/>
  <c r="M114" i="3"/>
  <c r="L114" i="3"/>
  <c r="K114" i="3"/>
  <c r="J114" i="3"/>
  <c r="G113" i="3"/>
  <c r="F113" i="3"/>
  <c r="I112" i="3"/>
  <c r="H112" i="3"/>
  <c r="H113" i="3" s="1"/>
  <c r="G112" i="3"/>
  <c r="F112" i="3"/>
  <c r="E112" i="3"/>
  <c r="D112" i="3"/>
  <c r="E113" i="3" s="1"/>
  <c r="I107" i="3"/>
  <c r="I108" i="3" s="1"/>
  <c r="H107" i="3"/>
  <c r="H105" i="3"/>
  <c r="G105" i="3"/>
  <c r="I104" i="3"/>
  <c r="I105" i="3" s="1"/>
  <c r="H104" i="3"/>
  <c r="G104" i="3"/>
  <c r="F104" i="3"/>
  <c r="F105" i="3" s="1"/>
  <c r="L100" i="3"/>
  <c r="K100" i="3"/>
  <c r="J100" i="3"/>
  <c r="N93" i="3"/>
  <c r="M93" i="3"/>
  <c r="L93" i="3"/>
  <c r="K93" i="3"/>
  <c r="J93" i="3"/>
  <c r="I91" i="3"/>
  <c r="I92" i="3" s="1"/>
  <c r="H91" i="3"/>
  <c r="G91" i="3"/>
  <c r="F91" i="3"/>
  <c r="F92" i="3" s="1"/>
  <c r="E91" i="3"/>
  <c r="E92" i="3" s="1"/>
  <c r="D91" i="3"/>
  <c r="K85" i="3"/>
  <c r="N78" i="3"/>
  <c r="M78" i="3"/>
  <c r="L78" i="3"/>
  <c r="K78" i="3"/>
  <c r="J78" i="3"/>
  <c r="H72" i="3"/>
  <c r="G72" i="3"/>
  <c r="G73" i="3" s="1"/>
  <c r="F72" i="3"/>
  <c r="H68" i="3"/>
  <c r="G68" i="3"/>
  <c r="F68" i="3"/>
  <c r="E68" i="3"/>
  <c r="D68" i="3"/>
  <c r="I67" i="3"/>
  <c r="H67" i="3"/>
  <c r="G67" i="3"/>
  <c r="F67" i="3"/>
  <c r="E67" i="3"/>
  <c r="D67" i="3"/>
  <c r="H66" i="3"/>
  <c r="G66" i="3"/>
  <c r="F66" i="3"/>
  <c r="E66" i="3"/>
  <c r="D66" i="3"/>
  <c r="I65" i="3"/>
  <c r="H65" i="3"/>
  <c r="G65" i="3"/>
  <c r="F65" i="3"/>
  <c r="E65" i="3"/>
  <c r="D65" i="3"/>
  <c r="H64" i="3"/>
  <c r="G64" i="3"/>
  <c r="F64" i="3"/>
  <c r="E64" i="3"/>
  <c r="D64" i="3"/>
  <c r="I63" i="3"/>
  <c r="H63" i="3"/>
  <c r="G63" i="3"/>
  <c r="F63" i="3"/>
  <c r="E63" i="3"/>
  <c r="D63" i="3"/>
  <c r="H62" i="3"/>
  <c r="G62" i="3"/>
  <c r="F62" i="3"/>
  <c r="E62" i="3"/>
  <c r="D62" i="3"/>
  <c r="I61" i="3"/>
  <c r="H61" i="3"/>
  <c r="G61" i="3"/>
  <c r="F61" i="3"/>
  <c r="E61" i="3"/>
  <c r="D61" i="3"/>
  <c r="H60" i="3"/>
  <c r="G60" i="3"/>
  <c r="F60" i="3"/>
  <c r="E60" i="3"/>
  <c r="D60" i="3"/>
  <c r="H59" i="3"/>
  <c r="G59" i="3"/>
  <c r="F59" i="3"/>
  <c r="E59" i="3"/>
  <c r="D59" i="3"/>
  <c r="H58" i="3"/>
  <c r="G58" i="3"/>
  <c r="F58" i="3"/>
  <c r="E58" i="3"/>
  <c r="D58" i="3"/>
  <c r="H57" i="3"/>
  <c r="G57" i="3"/>
  <c r="F57" i="3"/>
  <c r="E57" i="3"/>
  <c r="D57" i="3"/>
  <c r="H56" i="3"/>
  <c r="G56" i="3"/>
  <c r="F56" i="3"/>
  <c r="E56" i="3"/>
  <c r="D56" i="3"/>
  <c r="I55" i="3"/>
  <c r="H55" i="3"/>
  <c r="G55" i="3"/>
  <c r="F55" i="3"/>
  <c r="E55" i="3"/>
  <c r="D55" i="3"/>
  <c r="H54" i="3"/>
  <c r="H69" i="3" s="1"/>
  <c r="G54" i="3"/>
  <c r="G69" i="3" s="1"/>
  <c r="F54" i="3"/>
  <c r="E54" i="3"/>
  <c r="D54" i="3"/>
  <c r="D69" i="3" s="1"/>
  <c r="D76" i="3" s="1"/>
  <c r="E49" i="3"/>
  <c r="L45" i="3"/>
  <c r="E42" i="3"/>
  <c r="N39" i="3"/>
  <c r="M39" i="3"/>
  <c r="L39" i="3"/>
  <c r="K39" i="3"/>
  <c r="K38" i="3" s="1"/>
  <c r="J39" i="3"/>
  <c r="J38" i="3" s="1"/>
  <c r="N38" i="3"/>
  <c r="N45" i="3" s="1"/>
  <c r="M38" i="3"/>
  <c r="L38" i="3"/>
  <c r="H37" i="3"/>
  <c r="E37" i="3"/>
  <c r="N34" i="3"/>
  <c r="N33" i="3" s="1"/>
  <c r="M34" i="3"/>
  <c r="L34" i="3"/>
  <c r="K34" i="3"/>
  <c r="K33" i="3" s="1"/>
  <c r="K45" i="3" s="1"/>
  <c r="J34" i="3"/>
  <c r="J33" i="3" s="1"/>
  <c r="J45" i="3" s="1"/>
  <c r="M33" i="3"/>
  <c r="L33" i="3"/>
  <c r="F33" i="3"/>
  <c r="I32" i="3"/>
  <c r="H32" i="3"/>
  <c r="G32" i="3"/>
  <c r="F32" i="3"/>
  <c r="E32" i="3"/>
  <c r="E48" i="3" s="1"/>
  <c r="D32" i="3"/>
  <c r="F6" i="3"/>
  <c r="G6" i="3" s="1"/>
  <c r="H6" i="3" s="1"/>
  <c r="I6" i="3" s="1"/>
  <c r="E6" i="3"/>
  <c r="M5" i="3"/>
  <c r="N5" i="3" s="1"/>
  <c r="F5" i="3"/>
  <c r="G5" i="3" s="1"/>
  <c r="H5" i="3" s="1"/>
  <c r="I5" i="3" s="1"/>
  <c r="J5" i="3" s="1"/>
  <c r="K5" i="3" s="1"/>
  <c r="L5" i="3" s="1"/>
  <c r="E5" i="3"/>
  <c r="C2" i="3"/>
  <c r="P114" i="2"/>
  <c r="O114" i="2"/>
  <c r="N114" i="2"/>
  <c r="M114" i="2"/>
  <c r="U113" i="2"/>
  <c r="T113" i="2"/>
  <c r="R113" i="2"/>
  <c r="Q113" i="2"/>
  <c r="N113" i="2"/>
  <c r="M113" i="2"/>
  <c r="L113" i="2"/>
  <c r="H101" i="2"/>
  <c r="I100" i="2"/>
  <c r="I99" i="2"/>
  <c r="K97" i="2"/>
  <c r="J97" i="2"/>
  <c r="I97" i="2"/>
  <c r="H97" i="2"/>
  <c r="J90" i="2"/>
  <c r="I90" i="2"/>
  <c r="H90" i="2"/>
  <c r="G90" i="2"/>
  <c r="F90" i="2"/>
  <c r="F92" i="2" s="1"/>
  <c r="J84" i="2"/>
  <c r="J92" i="2" s="1"/>
  <c r="I84" i="2"/>
  <c r="I92" i="2" s="1"/>
  <c r="H84" i="2"/>
  <c r="H92" i="2" s="1"/>
  <c r="G84" i="2"/>
  <c r="G92" i="2" s="1"/>
  <c r="F84" i="2"/>
  <c r="G74" i="2"/>
  <c r="P55" i="2" s="1"/>
  <c r="F74" i="2"/>
  <c r="O55" i="2" s="1"/>
  <c r="E74" i="2"/>
  <c r="D74" i="2"/>
  <c r="V68" i="2"/>
  <c r="U68" i="2"/>
  <c r="I93" i="1" s="1"/>
  <c r="T68" i="2"/>
  <c r="S68" i="2"/>
  <c r="R68" i="2"/>
  <c r="F93" i="1" s="1"/>
  <c r="Q68" i="2"/>
  <c r="O68" i="2" s="1"/>
  <c r="P68" i="2"/>
  <c r="N68" i="2"/>
  <c r="M68" i="2"/>
  <c r="G68" i="2"/>
  <c r="L65" i="2"/>
  <c r="K64" i="2"/>
  <c r="K65" i="2" s="1"/>
  <c r="E64" i="2"/>
  <c r="E65" i="2" s="1"/>
  <c r="D64" i="2"/>
  <c r="D65" i="2" s="1"/>
  <c r="C62" i="2"/>
  <c r="V113" i="2" s="1"/>
  <c r="D59" i="2"/>
  <c r="D60" i="2" s="1"/>
  <c r="P57" i="2"/>
  <c r="O57" i="2"/>
  <c r="N57" i="2"/>
  <c r="M57" i="2"/>
  <c r="N55" i="2"/>
  <c r="M55" i="2"/>
  <c r="K55" i="2"/>
  <c r="K59" i="2" s="1"/>
  <c r="J55" i="2"/>
  <c r="I55" i="2"/>
  <c r="H55" i="2"/>
  <c r="P53" i="2"/>
  <c r="O53" i="2"/>
  <c r="N53" i="2"/>
  <c r="M53" i="2"/>
  <c r="H53" i="2"/>
  <c r="G53" i="2"/>
  <c r="D53" i="2"/>
  <c r="R50" i="2"/>
  <c r="S50" i="2" s="1"/>
  <c r="P50" i="2"/>
  <c r="O50" i="2"/>
  <c r="N50" i="2"/>
  <c r="M50" i="2"/>
  <c r="L50" i="2"/>
  <c r="J50" i="2"/>
  <c r="I50" i="2"/>
  <c r="H50" i="2"/>
  <c r="G50" i="2"/>
  <c r="F50" i="2"/>
  <c r="L47" i="2"/>
  <c r="G47" i="2"/>
  <c r="F47" i="2"/>
  <c r="E47" i="2"/>
  <c r="D47" i="2"/>
  <c r="F46" i="2"/>
  <c r="L45" i="2"/>
  <c r="L59" i="2" s="1"/>
  <c r="L64" i="2" s="1"/>
  <c r="K45" i="2"/>
  <c r="J45" i="2"/>
  <c r="I45" i="2"/>
  <c r="H45" i="2"/>
  <c r="G45" i="2"/>
  <c r="F45" i="2"/>
  <c r="E45" i="2"/>
  <c r="E59" i="2" s="1"/>
  <c r="D45" i="2"/>
  <c r="Q43" i="2"/>
  <c r="N43" i="2" s="1"/>
  <c r="P43" i="2"/>
  <c r="O43" i="2"/>
  <c r="M43" i="2"/>
  <c r="M42" i="2" s="1"/>
  <c r="L43" i="2"/>
  <c r="K43" i="2"/>
  <c r="J43" i="2"/>
  <c r="I43" i="2"/>
  <c r="H43" i="2"/>
  <c r="G43" i="2"/>
  <c r="F43" i="2"/>
  <c r="E43" i="2"/>
  <c r="D43" i="2"/>
  <c r="B42" i="2"/>
  <c r="R40" i="2"/>
  <c r="S40" i="2" s="1"/>
  <c r="Q40" i="2"/>
  <c r="P40" i="2" s="1"/>
  <c r="L40" i="2"/>
  <c r="K40" i="2"/>
  <c r="J40" i="2"/>
  <c r="I40" i="2"/>
  <c r="H40" i="2"/>
  <c r="G40" i="2"/>
  <c r="F40" i="2"/>
  <c r="E40" i="2"/>
  <c r="D40" i="2"/>
  <c r="B39" i="2"/>
  <c r="Q37" i="2"/>
  <c r="R37" i="2" s="1"/>
  <c r="S37" i="2" s="1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Q36" i="2"/>
  <c r="O36" i="2"/>
  <c r="B36" i="2"/>
  <c r="T34" i="2"/>
  <c r="S34" i="2"/>
  <c r="Q34" i="2"/>
  <c r="N34" i="2" s="1"/>
  <c r="P34" i="2"/>
  <c r="O34" i="2"/>
  <c r="M34" i="2"/>
  <c r="L34" i="2"/>
  <c r="K34" i="2"/>
  <c r="J34" i="2"/>
  <c r="I34" i="2"/>
  <c r="H34" i="2"/>
  <c r="G34" i="2"/>
  <c r="F34" i="2"/>
  <c r="E34" i="2"/>
  <c r="D34" i="2"/>
  <c r="B33" i="2"/>
  <c r="J31" i="2"/>
  <c r="I31" i="2"/>
  <c r="H31" i="2"/>
  <c r="G31" i="2"/>
  <c r="L29" i="2"/>
  <c r="G29" i="2"/>
  <c r="L28" i="2"/>
  <c r="L115" i="2" s="1"/>
  <c r="K28" i="2"/>
  <c r="J28" i="2"/>
  <c r="I28" i="2"/>
  <c r="H28" i="2"/>
  <c r="G28" i="2"/>
  <c r="G115" i="2" s="1"/>
  <c r="F28" i="2"/>
  <c r="E28" i="2"/>
  <c r="D28" i="2"/>
  <c r="L24" i="2"/>
  <c r="G24" i="2"/>
  <c r="L23" i="2"/>
  <c r="K23" i="2"/>
  <c r="J23" i="2"/>
  <c r="I23" i="2"/>
  <c r="I68" i="2" s="1"/>
  <c r="H23" i="2"/>
  <c r="H68" i="2" s="1"/>
  <c r="G23" i="2"/>
  <c r="G101" i="2" s="1"/>
  <c r="F23" i="2"/>
  <c r="E23" i="2"/>
  <c r="D23" i="2"/>
  <c r="Q21" i="2"/>
  <c r="Q20" i="2" s="1"/>
  <c r="L21" i="2"/>
  <c r="G21" i="2"/>
  <c r="F21" i="2"/>
  <c r="E21" i="2"/>
  <c r="N20" i="2"/>
  <c r="N21" i="2" s="1"/>
  <c r="M20" i="2"/>
  <c r="M21" i="2" s="1"/>
  <c r="Q18" i="2"/>
  <c r="Q17" i="2" s="1"/>
  <c r="L18" i="2"/>
  <c r="G18" i="2"/>
  <c r="F18" i="2"/>
  <c r="E18" i="2"/>
  <c r="Q15" i="2"/>
  <c r="Q14" i="2" s="1"/>
  <c r="L15" i="2"/>
  <c r="G15" i="2"/>
  <c r="F15" i="2"/>
  <c r="E15" i="2"/>
  <c r="O14" i="2"/>
  <c r="O15" i="2" s="1"/>
  <c r="N14" i="2"/>
  <c r="N15" i="2" s="1"/>
  <c r="M14" i="2"/>
  <c r="M15" i="2" s="1"/>
  <c r="Q12" i="2"/>
  <c r="Q11" i="2" s="1"/>
  <c r="L12" i="2"/>
  <c r="G12" i="2"/>
  <c r="F12" i="2"/>
  <c r="E12" i="2"/>
  <c r="N11" i="2"/>
  <c r="N12" i="2" s="1"/>
  <c r="M11" i="2"/>
  <c r="M12" i="2" s="1"/>
  <c r="V7" i="2"/>
  <c r="T7" i="2"/>
  <c r="U7" i="2" s="1"/>
  <c r="R7" i="2"/>
  <c r="S7" i="2" s="1"/>
  <c r="Q7" i="2"/>
  <c r="N7" i="2"/>
  <c r="O7" i="2" s="1"/>
  <c r="P7" i="2" s="1"/>
  <c r="E7" i="2"/>
  <c r="F7" i="2" s="1"/>
  <c r="G7" i="2" s="1"/>
  <c r="F215" i="1"/>
  <c r="G215" i="1" s="1"/>
  <c r="H215" i="1" s="1"/>
  <c r="I215" i="1" s="1"/>
  <c r="F175" i="1"/>
  <c r="F198" i="1" s="1"/>
  <c r="F148" i="1"/>
  <c r="F153" i="1" s="1"/>
  <c r="F28" i="1" s="1"/>
  <c r="E148" i="1"/>
  <c r="F145" i="1"/>
  <c r="F33" i="1" s="1"/>
  <c r="F143" i="1"/>
  <c r="G142" i="1"/>
  <c r="F142" i="1"/>
  <c r="F141" i="1"/>
  <c r="F147" i="1" s="1"/>
  <c r="F155" i="1" s="1"/>
  <c r="F163" i="1" s="1"/>
  <c r="F137" i="1"/>
  <c r="F135" i="1"/>
  <c r="G135" i="1" s="1"/>
  <c r="H135" i="1" s="1"/>
  <c r="I135" i="1" s="1"/>
  <c r="J135" i="1" s="1"/>
  <c r="H131" i="1"/>
  <c r="I131" i="1" s="1"/>
  <c r="J131" i="1" s="1"/>
  <c r="G131" i="1"/>
  <c r="G120" i="1"/>
  <c r="G121" i="1" s="1"/>
  <c r="G122" i="1" s="1"/>
  <c r="H102" i="1"/>
  <c r="J93" i="1"/>
  <c r="H93" i="1"/>
  <c r="G93" i="1"/>
  <c r="I90" i="1"/>
  <c r="J90" i="1" s="1"/>
  <c r="H90" i="1"/>
  <c r="G90" i="1"/>
  <c r="E32" i="1"/>
  <c r="P15" i="1"/>
  <c r="F14" i="1"/>
  <c r="F50" i="1" s="1"/>
  <c r="D52" i="4"/>
  <c r="E51" i="4"/>
  <c r="D51" i="4"/>
  <c r="D48" i="4"/>
  <c r="E47" i="4"/>
  <c r="D47" i="4"/>
  <c r="D44" i="4"/>
  <c r="E43" i="4"/>
  <c r="D43" i="4"/>
  <c r="D40" i="4"/>
  <c r="K8" i="4" s="1" a="1"/>
  <c r="K8" i="4" s="1"/>
  <c r="E39" i="4"/>
  <c r="D39" i="4"/>
  <c r="D36" i="4"/>
  <c r="E35" i="4"/>
  <c r="D35" i="4"/>
  <c r="D32" i="4"/>
  <c r="E31" i="4"/>
  <c r="L13" i="4" s="1" a="1"/>
  <c r="L13" i="4" s="1"/>
  <c r="D31" i="4"/>
  <c r="D28" i="4"/>
  <c r="E27" i="4"/>
  <c r="D27" i="4"/>
  <c r="D24" i="4"/>
  <c r="E23" i="4"/>
  <c r="D23" i="4"/>
  <c r="M12" i="4" s="1" a="1"/>
  <c r="M12" i="4" s="1"/>
  <c r="I20" i="4"/>
  <c r="I19" i="4"/>
  <c r="N13" i="4" a="1"/>
  <c r="N13" i="4" s="1"/>
  <c r="M13" i="4" a="1"/>
  <c r="M13" i="4"/>
  <c r="N12" i="4" a="1"/>
  <c r="N12" i="4" s="1"/>
  <c r="L12" i="4" a="1"/>
  <c r="L12" i="4" s="1"/>
  <c r="K11" i="4" a="1"/>
  <c r="K11" i="4" s="1"/>
  <c r="J11" i="4" a="1"/>
  <c r="J11" i="4" s="1"/>
  <c r="K10" i="4" a="1"/>
  <c r="K10" i="4" s="1"/>
  <c r="J10" i="4" a="1"/>
  <c r="J10" i="4" s="1"/>
  <c r="K7" i="4" a="1"/>
  <c r="K7" i="4"/>
  <c r="J7" i="4" a="1"/>
  <c r="J7" i="4" s="1"/>
  <c r="J6" i="4"/>
  <c r="E5" i="4"/>
  <c r="F5" i="4" s="1"/>
  <c r="G5" i="4" s="1"/>
  <c r="H5" i="4" s="1"/>
  <c r="I5" i="4" s="1"/>
  <c r="C2" i="4"/>
  <c r="L7" i="2" l="1"/>
  <c r="H7" i="2"/>
  <c r="I7" i="2" s="1"/>
  <c r="J7" i="2" s="1"/>
  <c r="K7" i="2" s="1"/>
  <c r="J215" i="1"/>
  <c r="G100" i="5"/>
  <c r="G102" i="5"/>
  <c r="AB99" i="5"/>
  <c r="AC99" i="5"/>
  <c r="AA117" i="5"/>
  <c r="S117" i="5"/>
  <c r="K50" i="2"/>
  <c r="K53" i="2"/>
  <c r="K68" i="2"/>
  <c r="K46" i="2"/>
  <c r="K31" i="2"/>
  <c r="G106" i="2"/>
  <c r="G103" i="2"/>
  <c r="G105" i="2"/>
  <c r="G104" i="2"/>
  <c r="M33" i="2"/>
  <c r="T40" i="2"/>
  <c r="N33" i="2"/>
  <c r="J8" i="4" a="1"/>
  <c r="J8" i="4" s="1"/>
  <c r="J19" i="4" s="1"/>
  <c r="T50" i="2"/>
  <c r="N14" i="4" a="1"/>
  <c r="N14" i="4" s="1"/>
  <c r="N19" i="4" s="1"/>
  <c r="R12" i="4" s="1"/>
  <c r="M14" i="4" a="1"/>
  <c r="M14" i="4" s="1"/>
  <c r="M19" i="4" s="1"/>
  <c r="R11" i="4" s="1"/>
  <c r="L14" i="4" a="1"/>
  <c r="L14" i="4" s="1"/>
  <c r="L19" i="4" s="1"/>
  <c r="R10" i="4" s="1"/>
  <c r="K9" i="4" a="1"/>
  <c r="K9" i="4" s="1"/>
  <c r="K19" i="4" s="1"/>
  <c r="R9" i="4" s="1"/>
  <c r="J9" i="4" a="1"/>
  <c r="J9" i="4" s="1"/>
  <c r="F59" i="2"/>
  <c r="F31" i="2"/>
  <c r="H103" i="2"/>
  <c r="Q15" i="1"/>
  <c r="P17" i="2"/>
  <c r="P18" i="2" s="1"/>
  <c r="Q39" i="2"/>
  <c r="O17" i="2"/>
  <c r="O18" i="2" s="1"/>
  <c r="Q23" i="2"/>
  <c r="N17" i="2"/>
  <c r="M17" i="2"/>
  <c r="Q28" i="2"/>
  <c r="G59" i="2"/>
  <c r="G46" i="2"/>
  <c r="F73" i="3"/>
  <c r="I103" i="2"/>
  <c r="U34" i="2"/>
  <c r="H46" i="2"/>
  <c r="H59" i="2"/>
  <c r="H73" i="3"/>
  <c r="N23" i="2"/>
  <c r="N42" i="2"/>
  <c r="AC27" i="5"/>
  <c r="G37" i="3"/>
  <c r="H28" i="5"/>
  <c r="G28" i="5"/>
  <c r="AB27" i="5"/>
  <c r="L78" i="5"/>
  <c r="U113" i="5"/>
  <c r="N124" i="5"/>
  <c r="AD115" i="5"/>
  <c r="J103" i="2"/>
  <c r="I46" i="2"/>
  <c r="I59" i="2"/>
  <c r="E113" i="2"/>
  <c r="E114" i="2"/>
  <c r="E29" i="2"/>
  <c r="M45" i="2"/>
  <c r="G93" i="2"/>
  <c r="E115" i="2"/>
  <c r="D50" i="2"/>
  <c r="D31" i="2"/>
  <c r="D68" i="2"/>
  <c r="K127" i="5"/>
  <c r="E68" i="2"/>
  <c r="E50" i="2"/>
  <c r="F24" i="2"/>
  <c r="E53" i="2"/>
  <c r="E149" i="1"/>
  <c r="H142" i="1"/>
  <c r="E156" i="1"/>
  <c r="E24" i="2"/>
  <c r="P11" i="2"/>
  <c r="P12" i="2" s="1"/>
  <c r="O11" i="2"/>
  <c r="O12" i="2" s="1"/>
  <c r="T37" i="2"/>
  <c r="F93" i="2"/>
  <c r="G95" i="2"/>
  <c r="G97" i="2" s="1"/>
  <c r="G143" i="1"/>
  <c r="G145" i="1" s="1"/>
  <c r="G33" i="1" s="1"/>
  <c r="G14" i="1"/>
  <c r="E31" i="2"/>
  <c r="E60" i="2"/>
  <c r="E46" i="2"/>
  <c r="I74" i="3"/>
  <c r="J6" i="3"/>
  <c r="F68" i="2"/>
  <c r="F101" i="2"/>
  <c r="L101" i="2" s="1"/>
  <c r="L31" i="2"/>
  <c r="J46" i="2"/>
  <c r="J59" i="2"/>
  <c r="F69" i="3"/>
  <c r="O25" i="5"/>
  <c r="O27" i="5"/>
  <c r="V24" i="5"/>
  <c r="O77" i="5"/>
  <c r="O75" i="5"/>
  <c r="V74" i="5"/>
  <c r="D113" i="2"/>
  <c r="D114" i="2"/>
  <c r="D115" i="2"/>
  <c r="O33" i="2"/>
  <c r="M36" i="2"/>
  <c r="O40" i="2"/>
  <c r="O39" i="2" s="1"/>
  <c r="N40" i="2"/>
  <c r="N39" i="2" s="1"/>
  <c r="M40" i="2"/>
  <c r="M39" i="2" s="1"/>
  <c r="O42" i="2"/>
  <c r="O45" i="2" s="1"/>
  <c r="F53" i="2"/>
  <c r="L60" i="2"/>
  <c r="F100" i="2"/>
  <c r="L100" i="2" s="1"/>
  <c r="H33" i="3"/>
  <c r="G76" i="3"/>
  <c r="N36" i="2"/>
  <c r="L46" i="2"/>
  <c r="I33" i="3"/>
  <c r="H76" i="3"/>
  <c r="H77" i="3" s="1"/>
  <c r="H92" i="3"/>
  <c r="G92" i="3"/>
  <c r="F115" i="2"/>
  <c r="F113" i="2"/>
  <c r="F114" i="2"/>
  <c r="F29" i="2"/>
  <c r="Q33" i="2"/>
  <c r="R43" i="2"/>
  <c r="Q42" i="2"/>
  <c r="Q45" i="2" s="1"/>
  <c r="K47" i="2"/>
  <c r="P113" i="2"/>
  <c r="O113" i="2"/>
  <c r="J32" i="3"/>
  <c r="K52" i="5"/>
  <c r="R52" i="5" s="1"/>
  <c r="R49" i="5"/>
  <c r="P77" i="5"/>
  <c r="P75" i="5"/>
  <c r="W74" i="5"/>
  <c r="P14" i="2"/>
  <c r="P20" i="2"/>
  <c r="J99" i="2"/>
  <c r="J68" i="2"/>
  <c r="J101" i="2"/>
  <c r="J100" i="2"/>
  <c r="J53" i="2"/>
  <c r="G113" i="2"/>
  <c r="G114" i="2"/>
  <c r="K60" i="2"/>
  <c r="O20" i="2"/>
  <c r="L53" i="2"/>
  <c r="L68" i="2"/>
  <c r="F99" i="2"/>
  <c r="H70" i="3"/>
  <c r="H99" i="2"/>
  <c r="H100" i="2"/>
  <c r="H42" i="3"/>
  <c r="M50" i="5"/>
  <c r="L50" i="5"/>
  <c r="L52" i="5"/>
  <c r="S49" i="5"/>
  <c r="M78" i="5"/>
  <c r="D77" i="5"/>
  <c r="D107" i="3" s="1"/>
  <c r="D104" i="3"/>
  <c r="E105" i="3" s="1"/>
  <c r="E75" i="5"/>
  <c r="T14" i="6"/>
  <c r="G100" i="2"/>
  <c r="G99" i="2"/>
  <c r="P111" i="5"/>
  <c r="W111" i="5" s="1"/>
  <c r="I54" i="3"/>
  <c r="I49" i="5"/>
  <c r="P34" i="5"/>
  <c r="AC111" i="5"/>
  <c r="V111" i="5"/>
  <c r="L114" i="2"/>
  <c r="M45" i="3"/>
  <c r="L137" i="3"/>
  <c r="M139" i="3"/>
  <c r="G25" i="5"/>
  <c r="H25" i="5"/>
  <c r="AD111" i="5"/>
  <c r="I101" i="2"/>
  <c r="I53" i="2"/>
  <c r="D46" i="2"/>
  <c r="D124" i="5"/>
  <c r="E124" i="5"/>
  <c r="AA109" i="5"/>
  <c r="Z109" i="5"/>
  <c r="G33" i="3"/>
  <c r="E69" i="3"/>
  <c r="W9" i="5"/>
  <c r="F28" i="5"/>
  <c r="F37" i="3"/>
  <c r="S24" i="5"/>
  <c r="L25" i="5"/>
  <c r="L27" i="5"/>
  <c r="I100" i="5"/>
  <c r="H100" i="5"/>
  <c r="H102" i="5"/>
  <c r="H127" i="5" s="1"/>
  <c r="AD99" i="5"/>
  <c r="AC130" i="5"/>
  <c r="H131" i="5"/>
  <c r="I113" i="3"/>
  <c r="N50" i="5"/>
  <c r="N52" i="5"/>
  <c r="U49" i="5"/>
  <c r="E53" i="5"/>
  <c r="E72" i="3"/>
  <c r="E73" i="3" s="1"/>
  <c r="E103" i="5"/>
  <c r="Z102" i="5"/>
  <c r="Z123" i="5"/>
  <c r="AD130" i="5"/>
  <c r="I131" i="5"/>
  <c r="S113" i="2"/>
  <c r="N25" i="5"/>
  <c r="U24" i="5"/>
  <c r="V52" i="5"/>
  <c r="F53" i="5"/>
  <c r="AA52" i="5"/>
  <c r="AD74" i="5"/>
  <c r="I75" i="5"/>
  <c r="L100" i="5"/>
  <c r="S99" i="5"/>
  <c r="L102" i="5"/>
  <c r="F103" i="5"/>
  <c r="AA102" i="5"/>
  <c r="AA110" i="5"/>
  <c r="Z110" i="5"/>
  <c r="Z114" i="5"/>
  <c r="R117" i="5"/>
  <c r="T13" i="6"/>
  <c r="T16" i="6"/>
  <c r="T15" i="6"/>
  <c r="I60" i="3"/>
  <c r="P40" i="5"/>
  <c r="K124" i="5"/>
  <c r="R124" i="5" s="1"/>
  <c r="V115" i="5"/>
  <c r="S120" i="5"/>
  <c r="L131" i="5"/>
  <c r="S130" i="5"/>
  <c r="M25" i="5"/>
  <c r="I59" i="3"/>
  <c r="P39" i="5"/>
  <c r="I114" i="5"/>
  <c r="AD114" i="5" s="1"/>
  <c r="R102" i="5"/>
  <c r="L124" i="5"/>
  <c r="I58" i="3"/>
  <c r="I113" i="5"/>
  <c r="AD113" i="5" s="1"/>
  <c r="P38" i="5"/>
  <c r="Z49" i="5"/>
  <c r="H78" i="5"/>
  <c r="R123" i="5"/>
  <c r="M124" i="5"/>
  <c r="I24" i="5"/>
  <c r="I109" i="5"/>
  <c r="T24" i="5"/>
  <c r="D27" i="5"/>
  <c r="I57" i="3"/>
  <c r="P37" i="5"/>
  <c r="P112" i="5" s="1"/>
  <c r="W112" i="5" s="1"/>
  <c r="AD77" i="5"/>
  <c r="I78" i="5"/>
  <c r="V99" i="5"/>
  <c r="Z120" i="5"/>
  <c r="T12" i="6"/>
  <c r="E33" i="3"/>
  <c r="M134" i="3"/>
  <c r="P9" i="5"/>
  <c r="I110" i="5"/>
  <c r="AD110" i="5" s="1"/>
  <c r="E28" i="5"/>
  <c r="E127" i="5"/>
  <c r="Z27" i="5"/>
  <c r="N75" i="5"/>
  <c r="U74" i="5"/>
  <c r="N77" i="5"/>
  <c r="R77" i="5"/>
  <c r="V112" i="5"/>
  <c r="O124" i="5"/>
  <c r="S74" i="5"/>
  <c r="M102" i="5"/>
  <c r="M100" i="5"/>
  <c r="AA74" i="5"/>
  <c r="T74" i="5"/>
  <c r="N102" i="5"/>
  <c r="N100" i="5"/>
  <c r="E100" i="5"/>
  <c r="I117" i="5"/>
  <c r="AD117" i="5" s="1"/>
  <c r="I120" i="5"/>
  <c r="AD120" i="5" s="1"/>
  <c r="I123" i="5"/>
  <c r="AD123" i="5" s="1"/>
  <c r="F131" i="5"/>
  <c r="H124" i="5"/>
  <c r="H50" i="5"/>
  <c r="Z113" i="5"/>
  <c r="Z116" i="5"/>
  <c r="Z119" i="5"/>
  <c r="Z122" i="5"/>
  <c r="P113" i="5"/>
  <c r="P114" i="5"/>
  <c r="P115" i="5"/>
  <c r="W115" i="5" s="1"/>
  <c r="P116" i="5"/>
  <c r="W116" i="5" s="1"/>
  <c r="P118" i="5"/>
  <c r="W118" i="5" s="1"/>
  <c r="P120" i="5"/>
  <c r="P123" i="5"/>
  <c r="P41" i="5"/>
  <c r="P42" i="5"/>
  <c r="P117" i="5" s="1"/>
  <c r="W117" i="5" s="1"/>
  <c r="P44" i="5"/>
  <c r="P119" i="5" s="1"/>
  <c r="W119" i="5" s="1"/>
  <c r="P46" i="5"/>
  <c r="P121" i="5" s="1"/>
  <c r="W121" i="5" s="1"/>
  <c r="P47" i="5"/>
  <c r="P122" i="5" s="1"/>
  <c r="W122" i="5" s="1"/>
  <c r="P48" i="5"/>
  <c r="Z74" i="5"/>
  <c r="E77" i="5"/>
  <c r="O102" i="5"/>
  <c r="AC109" i="5"/>
  <c r="I119" i="5"/>
  <c r="AD119" i="5" s="1"/>
  <c r="V49" i="5"/>
  <c r="F77" i="5"/>
  <c r="T77" i="5" s="1"/>
  <c r="Z99" i="5"/>
  <c r="T99" i="5"/>
  <c r="T130" i="5"/>
  <c r="M131" i="5"/>
  <c r="G77" i="5"/>
  <c r="P84" i="5"/>
  <c r="P99" i="5" s="1"/>
  <c r="U99" i="5"/>
  <c r="R8" i="4" l="1"/>
  <c r="R53" i="2"/>
  <c r="J20" i="4"/>
  <c r="F127" i="5"/>
  <c r="P110" i="2"/>
  <c r="S100" i="2"/>
  <c r="Q100" i="2"/>
  <c r="L82" i="2"/>
  <c r="K82" i="2" s="1"/>
  <c r="K100" i="2"/>
  <c r="T100" i="2"/>
  <c r="U100" i="2"/>
  <c r="R100" i="2"/>
  <c r="V100" i="2"/>
  <c r="J74" i="3"/>
  <c r="K6" i="3"/>
  <c r="U124" i="5"/>
  <c r="N125" i="5"/>
  <c r="E76" i="3"/>
  <c r="E77" i="3" s="1"/>
  <c r="E70" i="3"/>
  <c r="N139" i="3"/>
  <c r="N137" i="3" s="1"/>
  <c r="M137" i="3"/>
  <c r="N53" i="5"/>
  <c r="O53" i="5"/>
  <c r="U52" i="5"/>
  <c r="Z124" i="5"/>
  <c r="E125" i="5"/>
  <c r="W99" i="5"/>
  <c r="P102" i="5"/>
  <c r="P100" i="5"/>
  <c r="L99" i="2"/>
  <c r="P21" i="2"/>
  <c r="P28" i="2"/>
  <c r="P23" i="2"/>
  <c r="U37" i="2"/>
  <c r="G60" i="2"/>
  <c r="G64" i="2"/>
  <c r="G65" i="2" s="1"/>
  <c r="AB102" i="5"/>
  <c r="G103" i="5"/>
  <c r="N52" i="2"/>
  <c r="N24" i="2"/>
  <c r="N49" i="2"/>
  <c r="O103" i="5"/>
  <c r="V102" i="5"/>
  <c r="AD102" i="5"/>
  <c r="G78" i="5"/>
  <c r="AC77" i="5"/>
  <c r="AB77" i="5"/>
  <c r="G107" i="3"/>
  <c r="E78" i="5"/>
  <c r="Z77" i="5"/>
  <c r="E107" i="3"/>
  <c r="E108" i="3" s="1"/>
  <c r="W120" i="5"/>
  <c r="D37" i="3"/>
  <c r="D127" i="5"/>
  <c r="Z127" i="5" s="1"/>
  <c r="L125" i="5"/>
  <c r="S124" i="5"/>
  <c r="S102" i="5"/>
  <c r="L103" i="5"/>
  <c r="T102" i="5"/>
  <c r="M103" i="5"/>
  <c r="Q46" i="2"/>
  <c r="E18" i="1"/>
  <c r="O78" i="5"/>
  <c r="V77" i="5"/>
  <c r="S77" i="5"/>
  <c r="H60" i="2"/>
  <c r="H64" i="2"/>
  <c r="Q111" i="2"/>
  <c r="Q110" i="2"/>
  <c r="Q29" i="2"/>
  <c r="U50" i="2"/>
  <c r="M18" i="2"/>
  <c r="M23" i="2"/>
  <c r="M28" i="2"/>
  <c r="P39" i="2"/>
  <c r="U102" i="5"/>
  <c r="N103" i="5"/>
  <c r="F38" i="3"/>
  <c r="F45" i="3" s="1"/>
  <c r="F42" i="3"/>
  <c r="F49" i="3" s="1"/>
  <c r="AC124" i="5"/>
  <c r="H125" i="5"/>
  <c r="P109" i="5"/>
  <c r="I124" i="5"/>
  <c r="AD109" i="5"/>
  <c r="P15" i="2"/>
  <c r="P36" i="2"/>
  <c r="S43" i="2"/>
  <c r="V124" i="5"/>
  <c r="O125" i="5"/>
  <c r="M132" i="3"/>
  <c r="M100" i="3" s="1"/>
  <c r="N134" i="3"/>
  <c r="N132" i="3" s="1"/>
  <c r="N100" i="3" s="1"/>
  <c r="I25" i="5"/>
  <c r="AD24" i="5"/>
  <c r="I27" i="5"/>
  <c r="M127" i="5"/>
  <c r="P49" i="5"/>
  <c r="O21" i="2"/>
  <c r="O28" i="2"/>
  <c r="O110" i="2" s="1"/>
  <c r="O23" i="2"/>
  <c r="P42" i="2"/>
  <c r="V27" i="5"/>
  <c r="O28" i="5"/>
  <c r="O127" i="5"/>
  <c r="P33" i="2"/>
  <c r="R27" i="5"/>
  <c r="I64" i="2"/>
  <c r="I60" i="2"/>
  <c r="N18" i="2"/>
  <c r="N28" i="2"/>
  <c r="M53" i="5"/>
  <c r="L53" i="5"/>
  <c r="S52" i="5"/>
  <c r="R127" i="5"/>
  <c r="N127" i="5"/>
  <c r="F76" i="3"/>
  <c r="F77" i="3" s="1"/>
  <c r="F70" i="3"/>
  <c r="F106" i="2"/>
  <c r="L106" i="2" s="1"/>
  <c r="F105" i="2"/>
  <c r="L105" i="2" s="1"/>
  <c r="L88" i="2" s="1"/>
  <c r="K88" i="2" s="1"/>
  <c r="F103" i="2"/>
  <c r="L103" i="2" s="1"/>
  <c r="F104" i="2"/>
  <c r="L104" i="2" s="1"/>
  <c r="S20" i="6" a="1"/>
  <c r="G45" i="3"/>
  <c r="W77" i="5"/>
  <c r="P78" i="5"/>
  <c r="G70" i="3"/>
  <c r="J64" i="2"/>
  <c r="J60" i="2"/>
  <c r="G175" i="1"/>
  <c r="G198" i="1" s="1"/>
  <c r="G141" i="1"/>
  <c r="G147" i="1" s="1"/>
  <c r="G155" i="1" s="1"/>
  <c r="G163" i="1" s="1"/>
  <c r="G50" i="1"/>
  <c r="H14" i="1"/>
  <c r="G42" i="3"/>
  <c r="G38" i="3"/>
  <c r="H38" i="3"/>
  <c r="H45" i="3" s="1"/>
  <c r="G49" i="3"/>
  <c r="F60" i="2"/>
  <c r="F64" i="2"/>
  <c r="F65" i="2" s="1"/>
  <c r="T124" i="5"/>
  <c r="M125" i="5"/>
  <c r="AC102" i="5"/>
  <c r="H103" i="5"/>
  <c r="I103" i="5"/>
  <c r="V34" i="2"/>
  <c r="Q31" i="2"/>
  <c r="Q24" i="2"/>
  <c r="Q49" i="2"/>
  <c r="Q59" i="2" s="1"/>
  <c r="Q52" i="2"/>
  <c r="E15" i="1"/>
  <c r="Q67" i="2"/>
  <c r="E87" i="1" s="1"/>
  <c r="E93" i="1" s="1"/>
  <c r="F107" i="3"/>
  <c r="F108" i="3" s="1"/>
  <c r="F78" i="5"/>
  <c r="AA77" i="5"/>
  <c r="I69" i="3"/>
  <c r="W114" i="5"/>
  <c r="N78" i="5"/>
  <c r="U77" i="5"/>
  <c r="L127" i="5"/>
  <c r="L28" i="5"/>
  <c r="S27" i="5"/>
  <c r="H43" i="3"/>
  <c r="G77" i="3"/>
  <c r="F156" i="1"/>
  <c r="F161" i="1" s="1"/>
  <c r="F61" i="1" s="1"/>
  <c r="E164" i="1"/>
  <c r="U40" i="2"/>
  <c r="AA124" i="5"/>
  <c r="W113" i="5"/>
  <c r="F125" i="5"/>
  <c r="M28" i="5"/>
  <c r="H49" i="3"/>
  <c r="H48" i="3"/>
  <c r="L89" i="2"/>
  <c r="K89" i="2" s="1"/>
  <c r="L87" i="2"/>
  <c r="K87" i="2" s="1"/>
  <c r="L86" i="2"/>
  <c r="I142" i="1"/>
  <c r="H143" i="1"/>
  <c r="H145" i="1" s="1"/>
  <c r="H33" i="1" s="1"/>
  <c r="E150" i="1"/>
  <c r="G127" i="5"/>
  <c r="K32" i="3"/>
  <c r="V101" i="2"/>
  <c r="K101" i="2"/>
  <c r="U101" i="2"/>
  <c r="L83" i="2"/>
  <c r="K83" i="2" s="1"/>
  <c r="T101" i="2"/>
  <c r="S101" i="2"/>
  <c r="R101" i="2"/>
  <c r="Q101" i="2"/>
  <c r="G149" i="1"/>
  <c r="E157" i="1"/>
  <c r="N45" i="2"/>
  <c r="N31" i="2" s="1"/>
  <c r="I50" i="5"/>
  <c r="I52" i="5"/>
  <c r="AD49" i="5"/>
  <c r="W123" i="5"/>
  <c r="L120" i="3"/>
  <c r="L85" i="3"/>
  <c r="Q64" i="2" l="1"/>
  <c r="Q65" i="2" s="1"/>
  <c r="Q60" i="2"/>
  <c r="M31" i="2"/>
  <c r="M24" i="2"/>
  <c r="M49" i="2"/>
  <c r="M52" i="2"/>
  <c r="I125" i="5"/>
  <c r="AD124" i="5"/>
  <c r="E19" i="1"/>
  <c r="E53" i="1" s="1"/>
  <c r="L32" i="3"/>
  <c r="W109" i="5"/>
  <c r="P103" i="5"/>
  <c r="W102" i="5"/>
  <c r="O128" i="5"/>
  <c r="V127" i="5"/>
  <c r="E165" i="1"/>
  <c r="G157" i="1"/>
  <c r="E59" i="1"/>
  <c r="J65" i="2"/>
  <c r="J47" i="2"/>
  <c r="N128" i="5"/>
  <c r="U127" i="5"/>
  <c r="V50" i="2"/>
  <c r="N100" i="2"/>
  <c r="N82" i="2" s="1"/>
  <c r="M100" i="2"/>
  <c r="M82" i="2" s="1"/>
  <c r="P100" i="2"/>
  <c r="P82" i="2" s="1"/>
  <c r="O100" i="2"/>
  <c r="O82" i="2" s="1"/>
  <c r="Q82" i="2"/>
  <c r="AB127" i="5"/>
  <c r="G128" i="5"/>
  <c r="G108" i="3"/>
  <c r="H108" i="3"/>
  <c r="O101" i="2"/>
  <c r="O83" i="2" s="1"/>
  <c r="M101" i="2"/>
  <c r="M83" i="2" s="1"/>
  <c r="N101" i="2"/>
  <c r="N83" i="2" s="1"/>
  <c r="Q83" i="2"/>
  <c r="P101" i="2"/>
  <c r="P83" i="2" s="1"/>
  <c r="E158" i="1"/>
  <c r="H150" i="1"/>
  <c r="Q47" i="2"/>
  <c r="E21" i="1"/>
  <c r="E22" i="1" s="1"/>
  <c r="E54" i="1" s="1"/>
  <c r="P45" i="2"/>
  <c r="M46" i="2"/>
  <c r="O31" i="2"/>
  <c r="O49" i="2"/>
  <c r="O52" i="2"/>
  <c r="O24" i="2"/>
  <c r="O46" i="2"/>
  <c r="Q112" i="2"/>
  <c r="Q115" i="2" s="1"/>
  <c r="F48" i="3"/>
  <c r="F43" i="3"/>
  <c r="K74" i="3"/>
  <c r="L6" i="3"/>
  <c r="AA127" i="5"/>
  <c r="F128" i="5"/>
  <c r="V40" i="2"/>
  <c r="H128" i="5"/>
  <c r="G43" i="3"/>
  <c r="G48" i="3"/>
  <c r="Q104" i="2"/>
  <c r="T104" i="2"/>
  <c r="V104" i="2"/>
  <c r="S104" i="2"/>
  <c r="R104" i="2"/>
  <c r="K104" i="2"/>
  <c r="U104" i="2"/>
  <c r="P52" i="5"/>
  <c r="P50" i="5"/>
  <c r="W49" i="5"/>
  <c r="T43" i="2"/>
  <c r="P52" i="2"/>
  <c r="P49" i="2"/>
  <c r="P47" i="2" s="1"/>
  <c r="P24" i="2"/>
  <c r="E128" i="5"/>
  <c r="AC127" i="5"/>
  <c r="S127" i="5"/>
  <c r="L128" i="5"/>
  <c r="AD52" i="5"/>
  <c r="I72" i="3"/>
  <c r="I73" i="3" s="1"/>
  <c r="I53" i="5"/>
  <c r="E151" i="1"/>
  <c r="J142" i="1"/>
  <c r="I143" i="1"/>
  <c r="I145" i="1" s="1"/>
  <c r="I33" i="1" s="1"/>
  <c r="O67" i="2"/>
  <c r="O29" i="2"/>
  <c r="O111" i="2"/>
  <c r="O112" i="2" s="1"/>
  <c r="K86" i="2"/>
  <c r="L90" i="2"/>
  <c r="K90" i="2" s="1"/>
  <c r="Q87" i="2"/>
  <c r="H65" i="2"/>
  <c r="H47" i="2"/>
  <c r="V37" i="2"/>
  <c r="I70" i="3"/>
  <c r="I76" i="3"/>
  <c r="H175" i="1"/>
  <c r="H198" i="1" s="1"/>
  <c r="H141" i="1"/>
  <c r="H147" i="1" s="1"/>
  <c r="H155" i="1" s="1"/>
  <c r="H163" i="1" s="1"/>
  <c r="I14" i="1"/>
  <c r="H50" i="1"/>
  <c r="V103" i="2"/>
  <c r="T103" i="2"/>
  <c r="S103" i="2"/>
  <c r="U103" i="2"/>
  <c r="Q103" i="2"/>
  <c r="K103" i="2"/>
  <c r="R103" i="2"/>
  <c r="T127" i="5"/>
  <c r="M128" i="5"/>
  <c r="P29" i="2"/>
  <c r="P111" i="2"/>
  <c r="P112" i="2" s="1"/>
  <c r="P67" i="2"/>
  <c r="S8" i="4"/>
  <c r="K6" i="4"/>
  <c r="K20" i="4" s="1"/>
  <c r="W20" i="6"/>
  <c r="J72" i="1" s="1"/>
  <c r="V20" i="6"/>
  <c r="I72" i="1" s="1"/>
  <c r="U20" i="6"/>
  <c r="H72" i="1" s="1"/>
  <c r="T20" i="6"/>
  <c r="G72" i="1" s="1"/>
  <c r="S20" i="6"/>
  <c r="F72" i="1" s="1"/>
  <c r="N111" i="2"/>
  <c r="N67" i="2"/>
  <c r="N29" i="2"/>
  <c r="N110" i="2"/>
  <c r="N112" i="2" s="1"/>
  <c r="N59" i="2"/>
  <c r="N46" i="2"/>
  <c r="F164" i="1"/>
  <c r="F169" i="1" s="1"/>
  <c r="F67" i="1" s="1"/>
  <c r="K105" i="2"/>
  <c r="U105" i="2"/>
  <c r="R105" i="2"/>
  <c r="V105" i="2"/>
  <c r="T105" i="2"/>
  <c r="S105" i="2"/>
  <c r="Q105" i="2"/>
  <c r="I65" i="2"/>
  <c r="I47" i="2"/>
  <c r="I28" i="5"/>
  <c r="I127" i="5"/>
  <c r="AD27" i="5"/>
  <c r="I37" i="3"/>
  <c r="D42" i="3"/>
  <c r="D49" i="3"/>
  <c r="E38" i="3"/>
  <c r="E45" i="3" s="1"/>
  <c r="N47" i="2"/>
  <c r="M120" i="3"/>
  <c r="M85" i="3"/>
  <c r="F54" i="1"/>
  <c r="F22" i="1" s="1"/>
  <c r="S53" i="2"/>
  <c r="S106" i="2"/>
  <c r="V106" i="2"/>
  <c r="U106" i="2"/>
  <c r="T106" i="2"/>
  <c r="K106" i="2"/>
  <c r="R106" i="2"/>
  <c r="Q106" i="2"/>
  <c r="M67" i="2"/>
  <c r="M29" i="2"/>
  <c r="M111" i="2"/>
  <c r="M110" i="2"/>
  <c r="V99" i="2"/>
  <c r="S99" i="2"/>
  <c r="K99" i="2"/>
  <c r="U99" i="2"/>
  <c r="T99" i="2"/>
  <c r="R99" i="2"/>
  <c r="Q99" i="2"/>
  <c r="L81" i="2"/>
  <c r="N120" i="3"/>
  <c r="N85" i="3"/>
  <c r="M32" i="3" l="1"/>
  <c r="G79" i="1"/>
  <c r="G81" i="1" s="1"/>
  <c r="G74" i="1"/>
  <c r="I128" i="5"/>
  <c r="AD127" i="5"/>
  <c r="H79" i="1"/>
  <c r="H81" i="1" s="1"/>
  <c r="H74" i="1"/>
  <c r="I77" i="3"/>
  <c r="P53" i="5"/>
  <c r="W52" i="5"/>
  <c r="O47" i="2"/>
  <c r="O59" i="2"/>
  <c r="G165" i="1"/>
  <c r="E25" i="1"/>
  <c r="T53" i="2"/>
  <c r="G54" i="1"/>
  <c r="G22" i="1" s="1"/>
  <c r="I79" i="1"/>
  <c r="I81" i="1" s="1"/>
  <c r="I74" i="1"/>
  <c r="M112" i="2"/>
  <c r="I106" i="2"/>
  <c r="I105" i="2"/>
  <c r="I104" i="2"/>
  <c r="J79" i="1"/>
  <c r="J81" i="1" s="1"/>
  <c r="J74" i="1"/>
  <c r="O103" i="2"/>
  <c r="O86" i="2" s="1"/>
  <c r="N103" i="2"/>
  <c r="N86" i="2" s="1"/>
  <c r="M103" i="2"/>
  <c r="M86" i="2" s="1"/>
  <c r="P103" i="2"/>
  <c r="P86" i="2" s="1"/>
  <c r="L74" i="3"/>
  <c r="M6" i="3"/>
  <c r="P46" i="2"/>
  <c r="P59" i="2"/>
  <c r="H106" i="2"/>
  <c r="H105" i="2"/>
  <c r="H104" i="2"/>
  <c r="E152" i="1"/>
  <c r="J143" i="1"/>
  <c r="J145" i="1" s="1"/>
  <c r="J33" i="1" s="1"/>
  <c r="P31" i="2"/>
  <c r="M47" i="2"/>
  <c r="M59" i="2"/>
  <c r="J104" i="2"/>
  <c r="J106" i="2"/>
  <c r="J105" i="2"/>
  <c r="E159" i="1"/>
  <c r="I151" i="1"/>
  <c r="O99" i="2"/>
  <c r="O81" i="2" s="1"/>
  <c r="O84" i="2" s="1"/>
  <c r="N99" i="2"/>
  <c r="N81" i="2" s="1"/>
  <c r="N84" i="2" s="1"/>
  <c r="M99" i="2"/>
  <c r="M81" i="2" s="1"/>
  <c r="M84" i="2" s="1"/>
  <c r="P99" i="2"/>
  <c r="P81" i="2" s="1"/>
  <c r="P84" i="2" s="1"/>
  <c r="Q81" i="2"/>
  <c r="Q84" i="2" s="1"/>
  <c r="Q86" i="2"/>
  <c r="P104" i="2"/>
  <c r="O104" i="2"/>
  <c r="N104" i="2"/>
  <c r="M104" i="2"/>
  <c r="F79" i="1"/>
  <c r="F81" i="1" s="1"/>
  <c r="F74" i="1"/>
  <c r="N115" i="2"/>
  <c r="M115" i="2"/>
  <c r="P115" i="2"/>
  <c r="O115" i="2"/>
  <c r="F59" i="1"/>
  <c r="M105" i="2"/>
  <c r="P105" i="2"/>
  <c r="O105" i="2"/>
  <c r="N105" i="2"/>
  <c r="L6" i="4"/>
  <c r="L20" i="4" s="1"/>
  <c r="S9" i="4"/>
  <c r="N64" i="2"/>
  <c r="N65" i="2" s="1"/>
  <c r="N60" i="2"/>
  <c r="K81" i="2"/>
  <c r="L84" i="2"/>
  <c r="P106" i="2"/>
  <c r="O106" i="2"/>
  <c r="O89" i="2" s="1"/>
  <c r="M106" i="2"/>
  <c r="N106" i="2"/>
  <c r="I175" i="1"/>
  <c r="I198" i="1" s="1"/>
  <c r="I141" i="1"/>
  <c r="I147" i="1" s="1"/>
  <c r="I155" i="1" s="1"/>
  <c r="I163" i="1" s="1"/>
  <c r="J14" i="1"/>
  <c r="I50" i="1"/>
  <c r="Q89" i="2"/>
  <c r="D48" i="3"/>
  <c r="E43" i="3"/>
  <c r="Q88" i="2"/>
  <c r="U43" i="2"/>
  <c r="H158" i="1"/>
  <c r="E166" i="1"/>
  <c r="I38" i="3"/>
  <c r="I45" i="3" s="1"/>
  <c r="I42" i="3"/>
  <c r="J37" i="3"/>
  <c r="J152" i="1" l="1"/>
  <c r="E160" i="1"/>
  <c r="J49" i="3"/>
  <c r="J42" i="3"/>
  <c r="K37" i="3"/>
  <c r="I43" i="3"/>
  <c r="I48" i="3"/>
  <c r="V43" i="2"/>
  <c r="E29" i="1"/>
  <c r="E26" i="1"/>
  <c r="J175" i="1"/>
  <c r="J198" i="1" s="1"/>
  <c r="J141" i="1"/>
  <c r="J147" i="1" s="1"/>
  <c r="J155" i="1" s="1"/>
  <c r="J163" i="1" s="1"/>
  <c r="J50" i="1"/>
  <c r="M87" i="2"/>
  <c r="M90" i="2" s="1"/>
  <c r="M92" i="2" s="1"/>
  <c r="N87" i="2"/>
  <c r="P89" i="2"/>
  <c r="K84" i="2"/>
  <c r="K92" i="2" s="1"/>
  <c r="L92" i="2"/>
  <c r="U53" i="2"/>
  <c r="H54" i="1"/>
  <c r="H22" i="1" s="1"/>
  <c r="O90" i="2"/>
  <c r="O92" i="2" s="1"/>
  <c r="I49" i="3"/>
  <c r="M6" i="4"/>
  <c r="M20" i="4" s="1"/>
  <c r="S10" i="4"/>
  <c r="I159" i="1"/>
  <c r="E167" i="1"/>
  <c r="H166" i="1"/>
  <c r="N88" i="2"/>
  <c r="N90" i="2" s="1"/>
  <c r="N92" i="2" s="1"/>
  <c r="O88" i="2"/>
  <c r="O87" i="2"/>
  <c r="P64" i="2"/>
  <c r="P65" i="2" s="1"/>
  <c r="P60" i="2"/>
  <c r="O64" i="2"/>
  <c r="O65" i="2" s="1"/>
  <c r="O60" i="2"/>
  <c r="N89" i="2"/>
  <c r="P88" i="2"/>
  <c r="P87" i="2"/>
  <c r="P90" i="2" s="1"/>
  <c r="P92" i="2" s="1"/>
  <c r="P93" i="2" s="1"/>
  <c r="N32" i="3"/>
  <c r="M89" i="2"/>
  <c r="M88" i="2"/>
  <c r="Q90" i="2"/>
  <c r="Q92" i="2" s="1"/>
  <c r="M64" i="2"/>
  <c r="M65" i="2" s="1"/>
  <c r="M60" i="2"/>
  <c r="N6" i="3"/>
  <c r="N74" i="3" s="1"/>
  <c r="M74" i="3"/>
  <c r="P95" i="2" l="1"/>
  <c r="P97" i="2" s="1"/>
  <c r="O93" i="2"/>
  <c r="N95" i="2"/>
  <c r="N97" i="2" s="1"/>
  <c r="M93" i="2"/>
  <c r="Q93" i="2"/>
  <c r="E65" i="1"/>
  <c r="O95" i="2"/>
  <c r="O97" i="2" s="1"/>
  <c r="N93" i="2"/>
  <c r="K49" i="3"/>
  <c r="L37" i="3"/>
  <c r="K42" i="3"/>
  <c r="H98" i="1"/>
  <c r="H99" i="1" s="1"/>
  <c r="E30" i="1"/>
  <c r="N16" i="1"/>
  <c r="E86" i="1"/>
  <c r="G106" i="1"/>
  <c r="G105" i="1"/>
  <c r="O38" i="1"/>
  <c r="I167" i="1"/>
  <c r="L93" i="2"/>
  <c r="M95" i="2"/>
  <c r="M97" i="2" s="1"/>
  <c r="Q95" i="2"/>
  <c r="Q97" i="2" s="1"/>
  <c r="L95" i="2"/>
  <c r="L97" i="2" s="1"/>
  <c r="J84" i="3"/>
  <c r="J43" i="3"/>
  <c r="R12" i="2" s="1"/>
  <c r="R11" i="2" s="1"/>
  <c r="J48" i="3"/>
  <c r="V53" i="2"/>
  <c r="J54" i="1" s="1"/>
  <c r="J22" i="1" s="1"/>
  <c r="I54" i="1"/>
  <c r="I22" i="1" s="1"/>
  <c r="E168" i="1"/>
  <c r="J168" i="1" s="1"/>
  <c r="J160" i="1"/>
  <c r="N6" i="4"/>
  <c r="N20" i="4" s="1"/>
  <c r="S12" i="4" s="1"/>
  <c r="S11" i="4"/>
  <c r="M37" i="3" l="1"/>
  <c r="L42" i="3"/>
  <c r="E64" i="1"/>
  <c r="E138" i="1" s="1"/>
  <c r="E182" i="1"/>
  <c r="O19" i="1"/>
  <c r="O21" i="1" s="1"/>
  <c r="K84" i="3"/>
  <c r="K43" i="3"/>
  <c r="S12" i="2" s="1"/>
  <c r="K48" i="3"/>
  <c r="O20" i="1"/>
  <c r="E188" i="1"/>
  <c r="H107" i="1"/>
  <c r="R33" i="2"/>
  <c r="S11" i="2"/>
  <c r="J86" i="3"/>
  <c r="J87" i="3" s="1"/>
  <c r="J80" i="3" s="1"/>
  <c r="J77" i="3" s="1"/>
  <c r="J99" i="3"/>
  <c r="Q18" i="1"/>
  <c r="P16" i="1"/>
  <c r="Q16" i="1"/>
  <c r="H115" i="1" s="1"/>
  <c r="H116" i="1" s="1"/>
  <c r="F56" i="1"/>
  <c r="E56" i="1"/>
  <c r="L84" i="3" l="1"/>
  <c r="L43" i="3"/>
  <c r="T12" i="2" s="1"/>
  <c r="T11" i="2" s="1"/>
  <c r="L48" i="3"/>
  <c r="F200" i="1"/>
  <c r="G200" i="1" s="1"/>
  <c r="H200" i="1" s="1"/>
  <c r="I200" i="1" s="1"/>
  <c r="J200" i="1" s="1"/>
  <c r="P32" i="1"/>
  <c r="P39" i="1"/>
  <c r="L49" i="3"/>
  <c r="O39" i="1"/>
  <c r="O40" i="1" s="1"/>
  <c r="O43" i="1" s="1"/>
  <c r="H114" i="1"/>
  <c r="Q19" i="1"/>
  <c r="Q20" i="1"/>
  <c r="Q21" i="1" s="1"/>
  <c r="J101" i="3"/>
  <c r="J102" i="3" s="1"/>
  <c r="J96" i="3" s="1"/>
  <c r="J92" i="3" s="1"/>
  <c r="J119" i="3"/>
  <c r="J121" i="3" s="1"/>
  <c r="J122" i="3" s="1"/>
  <c r="J116" i="3" s="1"/>
  <c r="J113" i="3" s="1"/>
  <c r="K86" i="3"/>
  <c r="K99" i="3"/>
  <c r="O41" i="1"/>
  <c r="M42" i="3"/>
  <c r="N37" i="3"/>
  <c r="M49" i="3"/>
  <c r="R15" i="2"/>
  <c r="R14" i="2" s="1"/>
  <c r="J76" i="3"/>
  <c r="S33" i="2"/>
  <c r="E183" i="1"/>
  <c r="E185" i="1"/>
  <c r="E42" i="1" s="1"/>
  <c r="F182" i="1"/>
  <c r="E70" i="1"/>
  <c r="E38" i="1"/>
  <c r="H108" i="1"/>
  <c r="H109" i="1" s="1"/>
  <c r="H111" i="1" s="1"/>
  <c r="E189" i="1"/>
  <c r="F188" i="1"/>
  <c r="E76" i="1"/>
  <c r="E191" i="1"/>
  <c r="T33" i="2" l="1"/>
  <c r="K101" i="3"/>
  <c r="K119" i="3"/>
  <c r="K121" i="3" s="1"/>
  <c r="F189" i="1"/>
  <c r="N42" i="3"/>
  <c r="N49" i="3" s="1"/>
  <c r="M84" i="3"/>
  <c r="M43" i="3"/>
  <c r="U12" i="2" s="1"/>
  <c r="U11" i="2" s="1"/>
  <c r="M48" i="3"/>
  <c r="F183" i="1"/>
  <c r="F178" i="1" s="1"/>
  <c r="R21" i="2"/>
  <c r="R20" i="2" s="1"/>
  <c r="J112" i="3"/>
  <c r="L86" i="3"/>
  <c r="L99" i="3"/>
  <c r="K76" i="3"/>
  <c r="F213" i="1"/>
  <c r="G213" i="1" s="1"/>
  <c r="H213" i="1" s="1"/>
  <c r="I213" i="1" s="1"/>
  <c r="J213" i="1" s="1"/>
  <c r="J122" i="1"/>
  <c r="J120" i="1"/>
  <c r="H110" i="1"/>
  <c r="O24" i="1"/>
  <c r="O25" i="1" s="1"/>
  <c r="J121" i="1"/>
  <c r="E39" i="1"/>
  <c r="Q32" i="1"/>
  <c r="O32" i="1"/>
  <c r="K87" i="3"/>
  <c r="K80" i="3" s="1"/>
  <c r="K77" i="3" s="1"/>
  <c r="S15" i="2" s="1"/>
  <c r="J91" i="3"/>
  <c r="R18" i="2"/>
  <c r="R17" i="2" s="1"/>
  <c r="E193" i="1"/>
  <c r="E43" i="1"/>
  <c r="E44" i="1" s="1"/>
  <c r="S14" i="2"/>
  <c r="R36" i="2"/>
  <c r="U33" i="2" l="1"/>
  <c r="K122" i="3"/>
  <c r="K116" i="3" s="1"/>
  <c r="K113" i="3" s="1"/>
  <c r="S21" i="2" s="1"/>
  <c r="S20" i="2" s="1"/>
  <c r="K102" i="3"/>
  <c r="K96" i="3" s="1"/>
  <c r="K92" i="3" s="1"/>
  <c r="T14" i="2"/>
  <c r="S36" i="2"/>
  <c r="M86" i="3"/>
  <c r="M99" i="3"/>
  <c r="R39" i="2"/>
  <c r="L87" i="3"/>
  <c r="L80" i="3" s="1"/>
  <c r="L77" i="3" s="1"/>
  <c r="T15" i="2" s="1"/>
  <c r="O26" i="1"/>
  <c r="N21" i="1" s="1"/>
  <c r="Q25" i="1"/>
  <c r="Q26" i="1" s="1"/>
  <c r="N25" i="1"/>
  <c r="L101" i="3"/>
  <c r="L119" i="3"/>
  <c r="L121" i="3" s="1"/>
  <c r="K112" i="3"/>
  <c r="N84" i="3"/>
  <c r="N43" i="3"/>
  <c r="V12" i="2" s="1"/>
  <c r="V11" i="2" s="1"/>
  <c r="V33" i="2" s="1"/>
  <c r="N48" i="3"/>
  <c r="R28" i="2"/>
  <c r="R23" i="2"/>
  <c r="R42" i="2"/>
  <c r="S42" i="2" l="1"/>
  <c r="M119" i="3"/>
  <c r="M121" i="3" s="1"/>
  <c r="M101" i="3"/>
  <c r="M87" i="3"/>
  <c r="M80" i="3" s="1"/>
  <c r="M77" i="3" s="1"/>
  <c r="U15" i="2" s="1"/>
  <c r="L122" i="3"/>
  <c r="L116" i="3" s="1"/>
  <c r="L113" i="3" s="1"/>
  <c r="T21" i="2" s="1"/>
  <c r="T20" i="2" s="1"/>
  <c r="U14" i="2"/>
  <c r="T36" i="2"/>
  <c r="K91" i="3"/>
  <c r="L102" i="3" s="1"/>
  <c r="L96" i="3" s="1"/>
  <c r="L92" i="3" s="1"/>
  <c r="S18" i="2"/>
  <c r="S17" i="2" s="1"/>
  <c r="S28" i="2" s="1"/>
  <c r="N99" i="3"/>
  <c r="N86" i="3"/>
  <c r="R45" i="2"/>
  <c r="L76" i="3"/>
  <c r="R24" i="2"/>
  <c r="F52" i="1" s="1"/>
  <c r="F16" i="1" s="1"/>
  <c r="F15" i="1" s="1"/>
  <c r="R52" i="2"/>
  <c r="R81" i="2"/>
  <c r="R49" i="2"/>
  <c r="R47" i="2" s="1"/>
  <c r="R31" i="2"/>
  <c r="R67" i="2"/>
  <c r="R82" i="2"/>
  <c r="R83" i="2"/>
  <c r="R111" i="2"/>
  <c r="R29" i="2"/>
  <c r="R110" i="2"/>
  <c r="R112" i="2" s="1"/>
  <c r="R115" i="2" s="1"/>
  <c r="G59" i="1" s="1"/>
  <c r="S111" i="2" l="1"/>
  <c r="S110" i="2"/>
  <c r="S112" i="2" s="1"/>
  <c r="S115" i="2" s="1"/>
  <c r="H59" i="1" s="1"/>
  <c r="S29" i="2"/>
  <c r="L91" i="3"/>
  <c r="M102" i="3" s="1"/>
  <c r="M96" i="3" s="1"/>
  <c r="M92" i="3" s="1"/>
  <c r="T18" i="2"/>
  <c r="T17" i="2" s="1"/>
  <c r="T42" i="2"/>
  <c r="U36" i="2"/>
  <c r="M76" i="3"/>
  <c r="R59" i="2"/>
  <c r="R46" i="2"/>
  <c r="F53" i="1" s="1"/>
  <c r="F19" i="1" s="1"/>
  <c r="F18" i="1" s="1"/>
  <c r="F25" i="1" s="1"/>
  <c r="N87" i="3"/>
  <c r="N80" i="3" s="1"/>
  <c r="N77" i="3" s="1"/>
  <c r="V15" i="2" s="1"/>
  <c r="V14" i="2" s="1"/>
  <c r="V36" i="2" s="1"/>
  <c r="R89" i="2"/>
  <c r="R88" i="2"/>
  <c r="R87" i="2"/>
  <c r="R86" i="2"/>
  <c r="R84" i="2"/>
  <c r="F87" i="1"/>
  <c r="F21" i="1"/>
  <c r="F60" i="1"/>
  <c r="F32" i="1" s="1"/>
  <c r="L112" i="3"/>
  <c r="S45" i="2"/>
  <c r="N119" i="3"/>
  <c r="N121" i="3" s="1"/>
  <c r="N101" i="3"/>
  <c r="S39" i="2"/>
  <c r="S23" i="2"/>
  <c r="T39" i="2" l="1"/>
  <c r="T23" i="2"/>
  <c r="T28" i="2"/>
  <c r="M91" i="3"/>
  <c r="U18" i="2"/>
  <c r="U17" i="2" s="1"/>
  <c r="M112" i="3"/>
  <c r="M122" i="3"/>
  <c r="M116" i="3" s="1"/>
  <c r="M113" i="3" s="1"/>
  <c r="U21" i="2" s="1"/>
  <c r="U20" i="2" s="1"/>
  <c r="R60" i="2"/>
  <c r="R64" i="2"/>
  <c r="R65" i="2" s="1"/>
  <c r="S52" i="2"/>
  <c r="S67" i="2"/>
  <c r="S24" i="2"/>
  <c r="G52" i="1" s="1"/>
  <c r="G16" i="1" s="1"/>
  <c r="S49" i="2"/>
  <c r="S31" i="2"/>
  <c r="S81" i="2"/>
  <c r="S83" i="2"/>
  <c r="S82" i="2"/>
  <c r="T45" i="2"/>
  <c r="R90" i="2"/>
  <c r="R92" i="2" s="1"/>
  <c r="N102" i="3"/>
  <c r="N96" i="3" s="1"/>
  <c r="N92" i="3" s="1"/>
  <c r="S59" i="2"/>
  <c r="S46" i="2"/>
  <c r="G53" i="1" s="1"/>
  <c r="G19" i="1" s="1"/>
  <c r="F29" i="1"/>
  <c r="F26" i="1"/>
  <c r="N76" i="3"/>
  <c r="R93" i="2" l="1"/>
  <c r="F64" i="1" s="1"/>
  <c r="F65" i="1" s="1"/>
  <c r="R95" i="2"/>
  <c r="R97" i="2" s="1"/>
  <c r="V17" i="2"/>
  <c r="V39" i="2" s="1"/>
  <c r="U39" i="2"/>
  <c r="T46" i="2"/>
  <c r="H53" i="1" s="1"/>
  <c r="H19" i="1" s="1"/>
  <c r="G18" i="1"/>
  <c r="N112" i="3"/>
  <c r="S60" i="2"/>
  <c r="S64" i="2"/>
  <c r="S65" i="2" s="1"/>
  <c r="N91" i="3"/>
  <c r="V18" i="2"/>
  <c r="U23" i="2"/>
  <c r="U28" i="2"/>
  <c r="V20" i="2"/>
  <c r="U42" i="2"/>
  <c r="U45" i="2" s="1"/>
  <c r="N122" i="3"/>
  <c r="N116" i="3" s="1"/>
  <c r="N113" i="3" s="1"/>
  <c r="V21" i="2" s="1"/>
  <c r="S84" i="2"/>
  <c r="T29" i="2"/>
  <c r="T111" i="2"/>
  <c r="T110" i="2"/>
  <c r="T112" i="2" s="1"/>
  <c r="T115" i="2" s="1"/>
  <c r="I59" i="1" s="1"/>
  <c r="S88" i="2"/>
  <c r="S86" i="2"/>
  <c r="T81" i="2"/>
  <c r="T49" i="2"/>
  <c r="T59" i="2" s="1"/>
  <c r="T52" i="2"/>
  <c r="T31" i="2"/>
  <c r="T67" i="2"/>
  <c r="T24" i="2"/>
  <c r="H52" i="1" s="1"/>
  <c r="H16" i="1" s="1"/>
  <c r="T82" i="2"/>
  <c r="T83" i="2"/>
  <c r="S47" i="2"/>
  <c r="S89" i="2" s="1"/>
  <c r="F199" i="1"/>
  <c r="F201" i="1" s="1"/>
  <c r="F86" i="1"/>
  <c r="F30" i="1"/>
  <c r="G56" i="1" s="1"/>
  <c r="G133" i="1"/>
  <c r="G15" i="1"/>
  <c r="T60" i="2" l="1"/>
  <c r="T64" i="2"/>
  <c r="T65" i="2" s="1"/>
  <c r="S87" i="2"/>
  <c r="S92" i="2"/>
  <c r="H15" i="1"/>
  <c r="H18" i="1" s="1"/>
  <c r="G87" i="1"/>
  <c r="G21" i="1"/>
  <c r="G25" i="1" s="1"/>
  <c r="G60" i="1"/>
  <c r="T86" i="2"/>
  <c r="S90" i="2"/>
  <c r="F66" i="1"/>
  <c r="F34" i="1" s="1"/>
  <c r="H133" i="1"/>
  <c r="I133" i="1" s="1"/>
  <c r="J133" i="1" s="1"/>
  <c r="G132" i="1"/>
  <c r="U46" i="2"/>
  <c r="I53" i="1" s="1"/>
  <c r="I19" i="1" s="1"/>
  <c r="T47" i="2"/>
  <c r="T89" i="2" s="1"/>
  <c r="V28" i="2"/>
  <c r="V23" i="2"/>
  <c r="V42" i="2"/>
  <c r="V45" i="2" s="1"/>
  <c r="T84" i="2"/>
  <c r="U110" i="2"/>
  <c r="U29" i="2"/>
  <c r="U111" i="2"/>
  <c r="U52" i="2"/>
  <c r="U49" i="2"/>
  <c r="U47" i="2" s="1"/>
  <c r="U81" i="2"/>
  <c r="U84" i="2" s="1"/>
  <c r="U31" i="2"/>
  <c r="U24" i="2"/>
  <c r="I52" i="1" s="1"/>
  <c r="I16" i="1" s="1"/>
  <c r="U67" i="2"/>
  <c r="U82" i="2"/>
  <c r="U83" i="2"/>
  <c r="G26" i="1" l="1"/>
  <c r="S93" i="2"/>
  <c r="G64" i="1" s="1"/>
  <c r="G65" i="1" s="1"/>
  <c r="S95" i="2"/>
  <c r="S97" i="2" s="1"/>
  <c r="G134" i="1"/>
  <c r="G137" i="1"/>
  <c r="H132" i="1"/>
  <c r="G138" i="1"/>
  <c r="U59" i="2"/>
  <c r="V46" i="2"/>
  <c r="J53" i="1" s="1"/>
  <c r="J19" i="1" s="1"/>
  <c r="U112" i="2"/>
  <c r="U115" i="2" s="1"/>
  <c r="J59" i="1" s="1"/>
  <c r="V67" i="2"/>
  <c r="V49" i="2"/>
  <c r="V81" i="2"/>
  <c r="V84" i="2" s="1"/>
  <c r="V31" i="2"/>
  <c r="V24" i="2"/>
  <c r="J52" i="1" s="1"/>
  <c r="J16" i="1" s="1"/>
  <c r="V52" i="2"/>
  <c r="V83" i="2"/>
  <c r="V82" i="2"/>
  <c r="T88" i="2"/>
  <c r="I15" i="1"/>
  <c r="H87" i="1"/>
  <c r="H21" i="1"/>
  <c r="H25" i="1" s="1"/>
  <c r="H60" i="1"/>
  <c r="T87" i="2"/>
  <c r="T90" i="2" s="1"/>
  <c r="T92" i="2" s="1"/>
  <c r="U87" i="2"/>
  <c r="U89" i="2"/>
  <c r="U88" i="2"/>
  <c r="U86" i="2"/>
  <c r="V110" i="2"/>
  <c r="V29" i="2"/>
  <c r="V111" i="2"/>
  <c r="T93" i="2" l="1"/>
  <c r="H64" i="1" s="1"/>
  <c r="H65" i="1" s="1"/>
  <c r="T95" i="2"/>
  <c r="T97" i="2" s="1"/>
  <c r="H26" i="1"/>
  <c r="G164" i="1"/>
  <c r="G169" i="1" s="1"/>
  <c r="G67" i="1" s="1"/>
  <c r="H165" i="1"/>
  <c r="I166" i="1"/>
  <c r="J167" i="1"/>
  <c r="V88" i="2"/>
  <c r="V89" i="2"/>
  <c r="V87" i="2"/>
  <c r="V86" i="2"/>
  <c r="V47" i="2"/>
  <c r="G148" i="1"/>
  <c r="G153" i="1" s="1"/>
  <c r="G28" i="1" s="1"/>
  <c r="G29" i="1" s="1"/>
  <c r="H149" i="1"/>
  <c r="I150" i="1"/>
  <c r="J151" i="1"/>
  <c r="J15" i="1"/>
  <c r="I87" i="1"/>
  <c r="I21" i="1"/>
  <c r="I60" i="1"/>
  <c r="H66" i="1"/>
  <c r="G66" i="1"/>
  <c r="G34" i="1" s="1"/>
  <c r="I18" i="1"/>
  <c r="V112" i="2"/>
  <c r="V115" i="2" s="1"/>
  <c r="U60" i="2"/>
  <c r="U64" i="2"/>
  <c r="U65" i="2" s="1"/>
  <c r="H137" i="1"/>
  <c r="I132" i="1"/>
  <c r="H134" i="1"/>
  <c r="H138" i="1"/>
  <c r="J60" i="1"/>
  <c r="U90" i="2"/>
  <c r="U92" i="2" s="1"/>
  <c r="V59" i="2"/>
  <c r="G156" i="1"/>
  <c r="G161" i="1" s="1"/>
  <c r="G61" i="1" s="1"/>
  <c r="G32" i="1" s="1"/>
  <c r="H157" i="1"/>
  <c r="I158" i="1"/>
  <c r="J159" i="1"/>
  <c r="J18" i="1"/>
  <c r="H164" i="1" l="1"/>
  <c r="H169" i="1" s="1"/>
  <c r="H67" i="1" s="1"/>
  <c r="H34" i="1" s="1"/>
  <c r="I165" i="1"/>
  <c r="J166" i="1"/>
  <c r="H148" i="1"/>
  <c r="H153" i="1" s="1"/>
  <c r="H28" i="1" s="1"/>
  <c r="H29" i="1" s="1"/>
  <c r="I149" i="1"/>
  <c r="J150" i="1"/>
  <c r="I134" i="1"/>
  <c r="I137" i="1"/>
  <c r="J132" i="1"/>
  <c r="I138" i="1"/>
  <c r="K15" i="1"/>
  <c r="K52" i="1" s="1"/>
  <c r="J87" i="1"/>
  <c r="J21" i="1"/>
  <c r="K21" i="1" s="1"/>
  <c r="K54" i="1" s="1"/>
  <c r="U93" i="2"/>
  <c r="I64" i="1" s="1"/>
  <c r="I65" i="1" s="1"/>
  <c r="J25" i="1"/>
  <c r="K18" i="1"/>
  <c r="K53" i="1" s="1"/>
  <c r="H156" i="1"/>
  <c r="H161" i="1" s="1"/>
  <c r="H61" i="1" s="1"/>
  <c r="H32" i="1" s="1"/>
  <c r="I157" i="1"/>
  <c r="J158" i="1"/>
  <c r="G199" i="1"/>
  <c r="G201" i="1" s="1"/>
  <c r="G86" i="1"/>
  <c r="G30" i="1"/>
  <c r="H56" i="1" s="1"/>
  <c r="I25" i="1"/>
  <c r="V60" i="2"/>
  <c r="V64" i="2"/>
  <c r="V65" i="2" s="1"/>
  <c r="V90" i="2"/>
  <c r="V92" i="2" s="1"/>
  <c r="V93" i="2" s="1"/>
  <c r="J64" i="1" s="1"/>
  <c r="J65" i="1" s="1"/>
  <c r="K65" i="1" s="1"/>
  <c r="U95" i="2"/>
  <c r="U97" i="2" s="1"/>
  <c r="I148" i="1" l="1"/>
  <c r="I153" i="1" s="1"/>
  <c r="I28" i="1" s="1"/>
  <c r="I29" i="1" s="1"/>
  <c r="J149" i="1"/>
  <c r="I164" i="1"/>
  <c r="I169" i="1" s="1"/>
  <c r="I67" i="1" s="1"/>
  <c r="J165" i="1"/>
  <c r="J137" i="1"/>
  <c r="J156" i="1" s="1"/>
  <c r="J134" i="1"/>
  <c r="J148" i="1" s="1"/>
  <c r="J153" i="1" s="1"/>
  <c r="J28" i="1" s="1"/>
  <c r="J138" i="1"/>
  <c r="J164" i="1" s="1"/>
  <c r="J169" i="1" s="1"/>
  <c r="J67" i="1" s="1"/>
  <c r="I156" i="1"/>
  <c r="I161" i="1" s="1"/>
  <c r="I61" i="1" s="1"/>
  <c r="I32" i="1" s="1"/>
  <c r="J157" i="1"/>
  <c r="J66" i="1"/>
  <c r="J34" i="1" s="1"/>
  <c r="K25" i="1"/>
  <c r="J29" i="1"/>
  <c r="J26" i="1"/>
  <c r="V95" i="2"/>
  <c r="V97" i="2" s="1"/>
  <c r="I66" i="1"/>
  <c r="I34" i="1" s="1"/>
  <c r="H199" i="1"/>
  <c r="H201" i="1" s="1"/>
  <c r="H86" i="1"/>
  <c r="H30" i="1"/>
  <c r="I56" i="1" s="1"/>
  <c r="I26" i="1"/>
  <c r="I86" i="1" l="1"/>
  <c r="I30" i="1"/>
  <c r="J56" i="1" s="1"/>
  <c r="I199" i="1"/>
  <c r="I201" i="1" s="1"/>
  <c r="J161" i="1"/>
  <c r="J61" i="1" s="1"/>
  <c r="J32" i="1" s="1"/>
  <c r="N34" i="1"/>
  <c r="J86" i="1"/>
  <c r="K29" i="1"/>
  <c r="K56" i="1" s="1"/>
  <c r="P38" i="1"/>
  <c r="J30" i="1"/>
  <c r="J199" i="1"/>
  <c r="J201" i="1" s="1"/>
  <c r="P40" i="1" l="1"/>
  <c r="Q38" i="1"/>
  <c r="Q40" i="1" s="1"/>
  <c r="Q39" i="1"/>
  <c r="N33" i="1"/>
  <c r="N35" i="1"/>
  <c r="W15" i="1"/>
  <c r="X15" i="1"/>
  <c r="W16" i="1"/>
  <c r="X16" i="1"/>
  <c r="W17" i="1"/>
  <c r="X17" i="1"/>
  <c r="W18" i="1"/>
  <c r="X18" i="1"/>
  <c r="W19" i="1"/>
  <c r="X19" i="1"/>
  <c r="P30" i="1"/>
  <c r="Q30" i="1"/>
  <c r="N32" i="1"/>
  <c r="F35" i="1"/>
  <c r="G35" i="1"/>
  <c r="H35" i="1"/>
  <c r="I35" i="1"/>
  <c r="J35" i="1"/>
  <c r="F36" i="1"/>
  <c r="G36" i="1"/>
  <c r="H36" i="1"/>
  <c r="I36" i="1"/>
  <c r="J36" i="1"/>
  <c r="F37" i="1"/>
  <c r="G37" i="1"/>
  <c r="H37" i="1"/>
  <c r="I37" i="1"/>
  <c r="J37" i="1"/>
  <c r="K37" i="1"/>
  <c r="F38" i="1"/>
  <c r="G38" i="1"/>
  <c r="H38" i="1"/>
  <c r="I38" i="1"/>
  <c r="J38" i="1"/>
  <c r="K38" i="1"/>
  <c r="F39" i="1"/>
  <c r="G39" i="1"/>
  <c r="H39" i="1"/>
  <c r="I39" i="1"/>
  <c r="J39" i="1"/>
  <c r="E40" i="1"/>
  <c r="F40" i="1"/>
  <c r="G40" i="1"/>
  <c r="H40" i="1"/>
  <c r="I40" i="1"/>
  <c r="J40" i="1"/>
  <c r="P41" i="1"/>
  <c r="Q41" i="1"/>
  <c r="F42" i="1"/>
  <c r="G42" i="1"/>
  <c r="H42" i="1"/>
  <c r="I42" i="1"/>
  <c r="J42" i="1"/>
  <c r="P42" i="1"/>
  <c r="Q42" i="1"/>
  <c r="F43" i="1"/>
  <c r="G43" i="1"/>
  <c r="H43" i="1"/>
  <c r="I43" i="1"/>
  <c r="J43" i="1"/>
  <c r="P43" i="1"/>
  <c r="Q43" i="1"/>
  <c r="F44" i="1"/>
  <c r="G44" i="1"/>
  <c r="H44" i="1"/>
  <c r="I44" i="1"/>
  <c r="J44" i="1"/>
  <c r="K44" i="1"/>
  <c r="P44" i="1"/>
  <c r="F70" i="1"/>
  <c r="G70" i="1"/>
  <c r="H70" i="1"/>
  <c r="I70" i="1"/>
  <c r="J70" i="1"/>
  <c r="F71" i="1"/>
  <c r="G71" i="1"/>
  <c r="H71" i="1"/>
  <c r="I71" i="1"/>
  <c r="J71" i="1"/>
  <c r="F76" i="1"/>
  <c r="G76" i="1"/>
  <c r="H76" i="1"/>
  <c r="I76" i="1"/>
  <c r="J76" i="1"/>
  <c r="F77" i="1"/>
  <c r="G77" i="1"/>
  <c r="H77" i="1"/>
  <c r="I77" i="1"/>
  <c r="J77" i="1"/>
  <c r="F78" i="1"/>
  <c r="G78" i="1"/>
  <c r="H78" i="1"/>
  <c r="I78" i="1"/>
  <c r="J78" i="1"/>
  <c r="F83" i="1"/>
  <c r="G83" i="1"/>
  <c r="H83" i="1"/>
  <c r="I83" i="1"/>
  <c r="J83" i="1"/>
  <c r="F88" i="1"/>
  <c r="G88" i="1"/>
  <c r="H88" i="1"/>
  <c r="I88" i="1"/>
  <c r="J88" i="1"/>
  <c r="F89" i="1"/>
  <c r="G89" i="1"/>
  <c r="H89" i="1"/>
  <c r="I89" i="1"/>
  <c r="J89" i="1"/>
  <c r="F91" i="1"/>
  <c r="G91" i="1"/>
  <c r="H91" i="1"/>
  <c r="I91" i="1"/>
  <c r="J91" i="1"/>
  <c r="F176" i="1"/>
  <c r="G176" i="1"/>
  <c r="H176" i="1"/>
  <c r="I176" i="1"/>
  <c r="J176" i="1"/>
  <c r="F177" i="1"/>
  <c r="G177" i="1"/>
  <c r="H177" i="1"/>
  <c r="I177" i="1"/>
  <c r="J177" i="1"/>
  <c r="G178" i="1"/>
  <c r="H178" i="1"/>
  <c r="I178" i="1"/>
  <c r="J178" i="1"/>
  <c r="F179" i="1"/>
  <c r="G179" i="1"/>
  <c r="H179" i="1"/>
  <c r="I179" i="1"/>
  <c r="J179" i="1"/>
  <c r="G182" i="1"/>
  <c r="H182" i="1"/>
  <c r="I182" i="1"/>
  <c r="J182" i="1"/>
  <c r="G183" i="1"/>
  <c r="H183" i="1"/>
  <c r="I183" i="1"/>
  <c r="J183" i="1"/>
  <c r="F184" i="1"/>
  <c r="G184" i="1"/>
  <c r="H184" i="1"/>
  <c r="I184" i="1"/>
  <c r="J184" i="1"/>
  <c r="F185" i="1"/>
  <c r="G185" i="1"/>
  <c r="H185" i="1"/>
  <c r="I185" i="1"/>
  <c r="J185" i="1"/>
  <c r="G188" i="1"/>
  <c r="H188" i="1"/>
  <c r="I188" i="1"/>
  <c r="J188" i="1"/>
  <c r="G189" i="1"/>
  <c r="H189" i="1"/>
  <c r="I189" i="1"/>
  <c r="J189" i="1"/>
  <c r="F190" i="1"/>
  <c r="G190" i="1"/>
  <c r="H190" i="1"/>
  <c r="I190" i="1"/>
  <c r="J190" i="1"/>
  <c r="F191" i="1"/>
  <c r="G191" i="1"/>
  <c r="H191" i="1"/>
  <c r="I191" i="1"/>
  <c r="J191" i="1"/>
  <c r="F193" i="1"/>
  <c r="G193" i="1"/>
  <c r="H193" i="1"/>
  <c r="I193" i="1"/>
  <c r="J193" i="1"/>
  <c r="F194" i="1"/>
  <c r="G194" i="1"/>
  <c r="H194" i="1"/>
  <c r="I194" i="1"/>
  <c r="J194" i="1"/>
  <c r="F202" i="1"/>
  <c r="G202" i="1"/>
  <c r="H202" i="1"/>
  <c r="I202" i="1"/>
  <c r="J202" i="1"/>
  <c r="F203" i="1"/>
  <c r="G203" i="1"/>
  <c r="H203" i="1"/>
  <c r="I203" i="1"/>
  <c r="J203" i="1"/>
  <c r="F205" i="1"/>
  <c r="G205" i="1"/>
  <c r="H205" i="1"/>
  <c r="I205" i="1"/>
  <c r="J205" i="1"/>
  <c r="F206" i="1"/>
  <c r="G206" i="1"/>
  <c r="H206" i="1"/>
  <c r="I206" i="1"/>
  <c r="J206" i="1"/>
  <c r="F207" i="1"/>
  <c r="G207" i="1"/>
  <c r="H207" i="1"/>
  <c r="I207" i="1"/>
  <c r="J207" i="1"/>
  <c r="F208" i="1"/>
  <c r="G208" i="1"/>
  <c r="H208" i="1"/>
  <c r="I208" i="1"/>
  <c r="J208" i="1"/>
  <c r="F210" i="1"/>
  <c r="G210" i="1"/>
  <c r="H210" i="1"/>
  <c r="I210" i="1"/>
  <c r="J210" i="1"/>
  <c r="F212" i="1"/>
  <c r="G212" i="1"/>
  <c r="H212" i="1"/>
  <c r="I212" i="1"/>
  <c r="J212" i="1"/>
  <c r="F214" i="1"/>
  <c r="G214" i="1"/>
  <c r="H214" i="1"/>
  <c r="I214" i="1"/>
  <c r="J214" i="1"/>
  <c r="F216" i="1"/>
  <c r="G216" i="1"/>
  <c r="H216" i="1"/>
  <c r="I216" i="1"/>
  <c r="J216" i="1"/>
  <c r="P10" i="5"/>
  <c r="W10" i="5"/>
  <c r="P24" i="5"/>
  <c r="W24" i="5"/>
  <c r="P25" i="5"/>
  <c r="P27" i="5"/>
  <c r="W27" i="5"/>
  <c r="P28" i="5"/>
  <c r="P110" i="5"/>
  <c r="W110" i="5"/>
  <c r="P124" i="5"/>
  <c r="W124" i="5"/>
  <c r="P125" i="5"/>
  <c r="P127" i="5"/>
  <c r="W127" i="5"/>
  <c r="P128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Q57" authorId="0" shapeId="0" xr:uid="{00000000-0006-0000-0100-000001000000}">
      <text>
        <r>
          <rPr>
            <sz val="12"/>
            <color theme="1"/>
            <rFont val="Calibri"/>
            <family val="2"/>
            <scheme val="minor"/>
          </rPr>
          <t>Author:
Changing this from the hardcode -- we are reflecting margin expansion in the segemented build -- see other sheet</t>
        </r>
      </text>
    </comment>
  </commentList>
</comments>
</file>

<file path=xl/sharedStrings.xml><?xml version="1.0" encoding="utf-8"?>
<sst xmlns="http://schemas.openxmlformats.org/spreadsheetml/2006/main" count="732" uniqueCount="390">
  <si>
    <t>Cost Reduction Toggle</t>
  </si>
  <si>
    <t>x</t>
  </si>
  <si>
    <t>EBITDA Margin Build (Cost Savings)</t>
  </si>
  <si>
    <t>2025E</t>
  </si>
  <si>
    <t>2026E</t>
  </si>
  <si>
    <t>2027E</t>
  </si>
  <si>
    <t>2028E</t>
  </si>
  <si>
    <t>2029E</t>
  </si>
  <si>
    <t>Cost Savings By Year Summary</t>
  </si>
  <si>
    <t>EBITDA Margins BoP</t>
  </si>
  <si>
    <t xml:space="preserve"> (+) Near-term Offshoring (bps impact)</t>
  </si>
  <si>
    <t>Year</t>
  </si>
  <si>
    <t xml:space="preserve">Bps </t>
  </si>
  <si>
    <t>EoP EBITDA Margin</t>
  </si>
  <si>
    <t xml:space="preserve"> (+) Managed Services Utilization Improvement (bps impact)</t>
  </si>
  <si>
    <t xml:space="preserve"> (+) Sales Commission Change (bps impact)</t>
  </si>
  <si>
    <t xml:space="preserve"> (+) In-Process SG&amp;A Reduction (bps impact)</t>
  </si>
  <si>
    <t xml:space="preserve"> (+) Back Office IT Spend Reduction (bps impact)</t>
  </si>
  <si>
    <t xml:space="preserve"> (+) Pricing Increase (bps impact)</t>
  </si>
  <si>
    <t xml:space="preserve"> (+) Span and Layer Reduction (bps impact)</t>
  </si>
  <si>
    <t xml:space="preserve"> (+) Offshoring / Nearshoring / Outsourcing (bps impact)</t>
  </si>
  <si>
    <t xml:space="preserve"> (+) Resale Margin Expansion</t>
  </si>
  <si>
    <t xml:space="preserve"> (+) Time/Materials Margin Expansion</t>
  </si>
  <si>
    <t xml:space="preserve"> (+) Consulting Margin Expansion</t>
  </si>
  <si>
    <t xml:space="preserve"> (+) Cloud Margin Expansion</t>
  </si>
  <si>
    <t>Total bps impact</t>
  </si>
  <si>
    <t>Pricing Increase (bps impact) cases</t>
  </si>
  <si>
    <t>Total Cost Savings</t>
  </si>
  <si>
    <t>Per Year Savings</t>
  </si>
  <si>
    <t>Case Manager</t>
  </si>
  <si>
    <t>Low Cost Savings</t>
  </si>
  <si>
    <t>High Cost Savings</t>
  </si>
  <si>
    <t>No Cost Savings: 0</t>
  </si>
  <si>
    <t>Low Cost Savings: 1</t>
  </si>
  <si>
    <t>Offshoring / Nearshoring / Outsourcing (bps impact) cases</t>
  </si>
  <si>
    <t>High Cost Savings: 2</t>
  </si>
  <si>
    <t>Span and Layer Reduction (bps impact) cases</t>
  </si>
  <si>
    <t>Near-term Offshoring (bps impact) cases</t>
  </si>
  <si>
    <t>Near-term Managed Services Utilization Improvement (bps impact) cases</t>
  </si>
  <si>
    <t>Near-term Sales Commission Change (bps impact) cases</t>
  </si>
  <si>
    <t>Near-term In-Process SG&amp;A Reduction (bps impact) cases</t>
  </si>
  <si>
    <t>Near-term Back Office IT Spend Reduction (bps impact) cases</t>
  </si>
  <si>
    <t>Toggles:</t>
  </si>
  <si>
    <t>M&amp;A</t>
  </si>
  <si>
    <t>No</t>
  </si>
  <si>
    <t>Cross-Sell</t>
  </si>
  <si>
    <t>Base</t>
  </si>
  <si>
    <t>Cost Reduction</t>
  </si>
  <si>
    <t>Growth Case</t>
  </si>
  <si>
    <t>Multiple Expansion</t>
  </si>
  <si>
    <t>Yes</t>
  </si>
  <si>
    <t>SOFR Curve</t>
  </si>
  <si>
    <t>Forward Curve</t>
  </si>
  <si>
    <t>CIRC</t>
  </si>
  <si>
    <t>INPUT:   EBITDA and Annual Debt Paydown</t>
  </si>
  <si>
    <t>INPUT:   Purchase Price / Capitalization</t>
  </si>
  <si>
    <t>Returns by Year</t>
  </si>
  <si>
    <t>Est. Dec</t>
  </si>
  <si>
    <t>Projected</t>
  </si>
  <si>
    <t>PF</t>
  </si>
  <si>
    <t>CAGR</t>
  </si>
  <si>
    <t>pre fee</t>
  </si>
  <si>
    <t>w/ fee</t>
  </si>
  <si>
    <t>Exit Year</t>
  </si>
  <si>
    <t>IRR</t>
  </si>
  <si>
    <t>MOIC</t>
  </si>
  <si>
    <t>A</t>
  </si>
  <si>
    <t>Organic Revenue</t>
  </si>
  <si>
    <t>TEV / Price Paid</t>
  </si>
  <si>
    <t xml:space="preserve">   % growth</t>
  </si>
  <si>
    <t xml:space="preserve">  FY EBITDA</t>
  </si>
  <si>
    <t>H</t>
  </si>
  <si>
    <t>B</t>
  </si>
  <si>
    <t>Gross Profit</t>
  </si>
  <si>
    <t>Revolver / (Cash)</t>
  </si>
  <si>
    <t xml:space="preserve">   % margin</t>
  </si>
  <si>
    <t>1st Lien / Senior Debt</t>
  </si>
  <si>
    <t xml:space="preserve">2nd Lien / Sub Debt </t>
  </si>
  <si>
    <t>C</t>
  </si>
  <si>
    <t>SG&amp;A</t>
  </si>
  <si>
    <t xml:space="preserve">    Total Debt</t>
  </si>
  <si>
    <t>Rollover Equity</t>
  </si>
  <si>
    <t>I</t>
  </si>
  <si>
    <t xml:space="preserve">   Adjustments</t>
  </si>
  <si>
    <t>PE Sponsor</t>
  </si>
  <si>
    <t>Organic EBITDA</t>
  </si>
  <si>
    <t xml:space="preserve">    Total Equity</t>
  </si>
  <si>
    <t>Total Sources</t>
  </si>
  <si>
    <t>Acq</t>
  </si>
  <si>
    <t xml:space="preserve">   Add-on Acq EBITDA </t>
  </si>
  <si>
    <t>Total EBITDA</t>
  </si>
  <si>
    <t>Downside Return</t>
  </si>
  <si>
    <t>J</t>
  </si>
  <si>
    <t>Exit Multiple</t>
  </si>
  <si>
    <t>D</t>
  </si>
  <si>
    <t>Capex</t>
  </si>
  <si>
    <t>Add-on Acq Price (if debt)</t>
  </si>
  <si>
    <t>E</t>
  </si>
  <si>
    <t xml:space="preserve">   Change in NWC</t>
  </si>
  <si>
    <t>Exit EBITDA</t>
  </si>
  <si>
    <t>F</t>
  </si>
  <si>
    <t xml:space="preserve">    Interest</t>
  </si>
  <si>
    <t>G</t>
  </si>
  <si>
    <t xml:space="preserve">   Cash taxes</t>
  </si>
  <si>
    <t>cum</t>
  </si>
  <si>
    <t>Annual Debt Paydown</t>
  </si>
  <si>
    <t>Value Creation:</t>
  </si>
  <si>
    <t>At Acq.</t>
  </si>
  <si>
    <t>Exit</t>
  </si>
  <si>
    <t>Change</t>
  </si>
  <si>
    <t xml:space="preserve">Ending Net Debt </t>
  </si>
  <si>
    <t>EBITDA</t>
  </si>
  <si>
    <t xml:space="preserve">     Debt / EBITDA</t>
  </si>
  <si>
    <t xml:space="preserve">   TEV mult</t>
  </si>
  <si>
    <t xml:space="preserve">     EBITDA-Capex / Interest</t>
  </si>
  <si>
    <t>TEV</t>
  </si>
  <si>
    <t xml:space="preserve">   less:  Debt</t>
  </si>
  <si>
    <t xml:space="preserve">             Debt-   1st Lien / (cash)</t>
  </si>
  <si>
    <t xml:space="preserve">   less:  options</t>
  </si>
  <si>
    <t xml:space="preserve">             Debt -  2nd Lien/Sub</t>
  </si>
  <si>
    <t>Equity value</t>
  </si>
  <si>
    <t xml:space="preserve">                   Total Debt (Net)</t>
  </si>
  <si>
    <t xml:space="preserve">   MOIC</t>
  </si>
  <si>
    <t>INPUT:   EBITDA and DEBT PAYDOWN</t>
  </si>
  <si>
    <t>Income Statement Assumptions</t>
  </si>
  <si>
    <t>notes:</t>
  </si>
  <si>
    <t xml:space="preserve">LTM and est. at closing </t>
  </si>
  <si>
    <t>input above in output page</t>
  </si>
  <si>
    <t xml:space="preserve">Revenue growth </t>
  </si>
  <si>
    <t>Gross margin</t>
  </si>
  <si>
    <t>Adjustments</t>
  </si>
  <si>
    <t>EBITDA margin output</t>
  </si>
  <si>
    <t>Capex % Base -% of sales input</t>
  </si>
  <si>
    <t>Capex - Base</t>
  </si>
  <si>
    <t>Capex - Add on Acq</t>
  </si>
  <si>
    <t xml:space="preserve">Net Working Capital </t>
  </si>
  <si>
    <t>% of sales input - Base</t>
  </si>
  <si>
    <t>Net assets (liabilities)</t>
  </si>
  <si>
    <t xml:space="preserve">   (Inc) / Dec vs PY - Base</t>
  </si>
  <si>
    <t xml:space="preserve">   (Inc) / Dec vs PY - Add on Acq</t>
  </si>
  <si>
    <t>Interest</t>
  </si>
  <si>
    <t>A/R Facility</t>
  </si>
  <si>
    <t xml:space="preserve">    Cash Interest </t>
  </si>
  <si>
    <t>Forward SOFR</t>
  </si>
  <si>
    <t>Spread</t>
  </si>
  <si>
    <t>Interest Rate</t>
  </si>
  <si>
    <t>Term Loan</t>
  </si>
  <si>
    <t xml:space="preserve">    Pay-in-kind (non cash) </t>
  </si>
  <si>
    <t>Total Interest</t>
  </si>
  <si>
    <t>Tax</t>
  </si>
  <si>
    <t xml:space="preserve">   Less: D&amp;A </t>
  </si>
  <si>
    <t xml:space="preserve">   Less: Max Interest or 30% EBITDA </t>
  </si>
  <si>
    <t>EBT</t>
  </si>
  <si>
    <t xml:space="preserve">    Tax Rate %</t>
  </si>
  <si>
    <t>Taxes</t>
  </si>
  <si>
    <t xml:space="preserve">     Note:  D&amp;A (for tax purposes)</t>
  </si>
  <si>
    <t>INPUT:   PURCHASE PRICE AND CAPITALIZATION</t>
  </si>
  <si>
    <t>Entry Purchase Price Assumption</t>
  </si>
  <si>
    <t>EBITDA at Acquisition</t>
  </si>
  <si>
    <t xml:space="preserve">   Purchase Multipe (pre fees)</t>
  </si>
  <si>
    <t>TEV to seller</t>
  </si>
  <si>
    <t xml:space="preserve">       Closing cost / fees</t>
  </si>
  <si>
    <t>Costs included above</t>
  </si>
  <si>
    <t>TEV w/ fees - capital needed at closing</t>
  </si>
  <si>
    <t>Capitalization: Opeing Debt and Equity</t>
  </si>
  <si>
    <t>ABL Facility</t>
  </si>
  <si>
    <t>multiple:</t>
  </si>
  <si>
    <t>Debt at closing</t>
  </si>
  <si>
    <t>Equity (plug to fund remining capital)</t>
  </si>
  <si>
    <t>Total Capitalization at closing</t>
  </si>
  <si>
    <t xml:space="preserve">    Equity % of Total Capital</t>
  </si>
  <si>
    <t xml:space="preserve">    Test: equal to need at closing?</t>
  </si>
  <si>
    <t xml:space="preserve">   Acquisition Multiple</t>
  </si>
  <si>
    <t xml:space="preserve">   Acquisition Multiple w fees</t>
  </si>
  <si>
    <t>Sale / Exit Multiple</t>
  </si>
  <si>
    <t>Management Incentive Options Assumptions</t>
  </si>
  <si>
    <t>% of Shares</t>
  </si>
  <si>
    <t>Hurdle to Earn $</t>
  </si>
  <si>
    <t>Per Tranche</t>
  </si>
  <si>
    <t>Cum</t>
  </si>
  <si>
    <t>Mult of Equity</t>
  </si>
  <si>
    <t>$</t>
  </si>
  <si>
    <t>Time</t>
  </si>
  <si>
    <t>Performance 1</t>
  </si>
  <si>
    <t>Performance 2</t>
  </si>
  <si>
    <t>INPUT:   ADD ON ACQUISITIONS (IF ANY)</t>
  </si>
  <si>
    <t>Model is built to fund add-ons out of free cash flow (i.e. use of cash or increase in debt).  Must adjust model if add-ons require equity.</t>
  </si>
  <si>
    <t>----------------------------- by year of acquisition----------------------------</t>
  </si>
  <si>
    <t xml:space="preserve">ASSUMPTIONS -  Each Add-on </t>
  </si>
  <si>
    <t>Revenue</t>
  </si>
  <si>
    <t xml:space="preserve">        % growth</t>
  </si>
  <si>
    <t xml:space="preserve">     % margin</t>
  </si>
  <si>
    <t xml:space="preserve">    Capex</t>
  </si>
  <si>
    <t>% sales</t>
  </si>
  <si>
    <t xml:space="preserve">    NWC chg</t>
  </si>
  <si>
    <t>% salea</t>
  </si>
  <si>
    <t>IMPACT ON MODEL</t>
  </si>
  <si>
    <t xml:space="preserve">    # of acquisitions</t>
  </si>
  <si>
    <t>EBITDA Acquired</t>
  </si>
  <si>
    <t xml:space="preserve">    Multiple Paid</t>
  </si>
  <si>
    <t xml:space="preserve">    Purchase Price</t>
  </si>
  <si>
    <t>EBITDA added per year</t>
  </si>
  <si>
    <t>Acq Yr</t>
  </si>
  <si>
    <t>#</t>
  </si>
  <si>
    <t>TOTAL</t>
  </si>
  <si>
    <t>Capex added per year</t>
  </si>
  <si>
    <t>NWC change added per year</t>
  </si>
  <si>
    <t>NWC inc /  (dec)</t>
  </si>
  <si>
    <t>CALCULATIONS ONLY -- NO INPUTS</t>
  </si>
  <si>
    <t>Debt Balance / Paydown Calculation</t>
  </si>
  <si>
    <t xml:space="preserve">Free cash flow </t>
  </si>
  <si>
    <t xml:space="preserve">    PIK / non cash interest (back out) </t>
  </si>
  <si>
    <t xml:space="preserve">    Mandatory debt amortization </t>
  </si>
  <si>
    <t xml:space="preserve">    Cash sweep  / (revolver draw)</t>
  </si>
  <si>
    <t>1st Lien</t>
  </si>
  <si>
    <t>Beginning Balance</t>
  </si>
  <si>
    <t>Mandatory Amort / yr.</t>
  </si>
  <si>
    <t xml:space="preserve">- Leave required debt paydown at 1% / yr at this stage. </t>
  </si>
  <si>
    <t>Cash Sweep / (Revolver draw)</t>
  </si>
  <si>
    <t>Ending Balance</t>
  </si>
  <si>
    <t>2nd Lien / Sub Debt</t>
  </si>
  <si>
    <t xml:space="preserve">PIK  / non cash Interest </t>
  </si>
  <si>
    <t>Total Debt</t>
  </si>
  <si>
    <t xml:space="preserve">    Debt paydown / (increase)</t>
  </si>
  <si>
    <t xml:space="preserve">    Test: equal to FCF</t>
  </si>
  <si>
    <t>year 5</t>
  </si>
  <si>
    <t>Returns: Multiple of Original Investment, IRR</t>
  </si>
  <si>
    <t>Exit EBITDA Multiple</t>
  </si>
  <si>
    <t xml:space="preserve">   Enterprise Value at Exit</t>
  </si>
  <si>
    <t xml:space="preserve">   Less:  Net Debt</t>
  </si>
  <si>
    <t xml:space="preserve">Equity value - before options </t>
  </si>
  <si>
    <t xml:space="preserve">     % Management Options Vested</t>
  </si>
  <si>
    <t xml:space="preserve">     Gross management value</t>
  </si>
  <si>
    <t xml:space="preserve">          Less: exercise price</t>
  </si>
  <si>
    <t xml:space="preserve">Net proceeds to management </t>
  </si>
  <si>
    <t>Exit equity value</t>
  </si>
  <si>
    <t xml:space="preserve">Exit Equity value - before options </t>
  </si>
  <si>
    <t>Original invesment</t>
  </si>
  <si>
    <t xml:space="preserve">      MOIC - Mult of Original Investment</t>
  </si>
  <si>
    <t xml:space="preserve">           Yrs for IRR calc</t>
  </si>
  <si>
    <t xml:space="preserve">      IRR</t>
  </si>
  <si>
    <t xml:space="preserve">     </t>
  </si>
  <si>
    <t>LBO-audit</t>
  </si>
  <si>
    <t>Q1</t>
  </si>
  <si>
    <t>Q2</t>
  </si>
  <si>
    <t>Q3</t>
  </si>
  <si>
    <t>Q4</t>
  </si>
  <si>
    <t>FY</t>
  </si>
  <si>
    <t>($ in millions)</t>
  </si>
  <si>
    <t>P&amp;L Summary</t>
  </si>
  <si>
    <t>Infrastructure</t>
  </si>
  <si>
    <t>% Growth</t>
  </si>
  <si>
    <t>--</t>
  </si>
  <si>
    <t>Cloud</t>
  </si>
  <si>
    <t>Consulting</t>
  </si>
  <si>
    <t>Comms</t>
  </si>
  <si>
    <t>Total Organic Revenue</t>
  </si>
  <si>
    <t>Acquired Revenue</t>
  </si>
  <si>
    <t>Total Revenue</t>
  </si>
  <si>
    <t>Memo: Organic COGS</t>
  </si>
  <si>
    <t>% Margin</t>
  </si>
  <si>
    <t>Total Organic Gross Profit</t>
  </si>
  <si>
    <t>Memo: Organic OPEX</t>
  </si>
  <si>
    <t>Selling Expense</t>
  </si>
  <si>
    <t>Operating Expenses</t>
  </si>
  <si>
    <t>Run-Rate Impact of Cost Initiatives</t>
  </si>
  <si>
    <t>Organic PF Adj. EBITDA</t>
  </si>
  <si>
    <t>Acquired EBITDA</t>
  </si>
  <si>
    <t>Total PF Adj. EBITDA</t>
  </si>
  <si>
    <t>Normalized D&amp;A</t>
  </si>
  <si>
    <t>% of Revenue</t>
  </si>
  <si>
    <t>Quarterly Revenue Distribution</t>
  </si>
  <si>
    <t>2021A</t>
  </si>
  <si>
    <t>2022A</t>
  </si>
  <si>
    <t>2023E</t>
  </si>
  <si>
    <t>Average</t>
  </si>
  <si>
    <t>NWC and Capex Build</t>
  </si>
  <si>
    <t>Net Working Capital Build</t>
  </si>
  <si>
    <t>Organic NWC</t>
  </si>
  <si>
    <t>PwC Adj.</t>
  </si>
  <si>
    <t>Projection</t>
  </si>
  <si>
    <t>Receivables</t>
  </si>
  <si>
    <t>Inventory</t>
  </si>
  <si>
    <t>Prepaid and Other Current Assets</t>
  </si>
  <si>
    <t>Current Assets</t>
  </si>
  <si>
    <t>Accounts Payable and Accrued Liabilities</t>
  </si>
  <si>
    <t>Accrued Expenses</t>
  </si>
  <si>
    <t>Advanced Billings and Customer Deposits</t>
  </si>
  <si>
    <t>Total Other Current Liabilities</t>
  </si>
  <si>
    <t>Current Liabilities</t>
  </si>
  <si>
    <t>Total Transaction Perimeter Adj. NWC</t>
  </si>
  <si>
    <t>Organic NWC as % of Revenue</t>
  </si>
  <si>
    <t>Organic Change in NWC</t>
  </si>
  <si>
    <t>Acquired Change in NWC</t>
  </si>
  <si>
    <t>Total Change in NWC</t>
  </si>
  <si>
    <t>DSO</t>
  </si>
  <si>
    <t>Inventory % of Revenue</t>
  </si>
  <si>
    <t>Prepaid and Other CA % of Revenue</t>
  </si>
  <si>
    <t>DPO</t>
  </si>
  <si>
    <t>Accrued Expenses % of COGS + Opex</t>
  </si>
  <si>
    <t>Advanced Billings and Customer Deposits % of COGS + Opex</t>
  </si>
  <si>
    <t>Total Other Current Liabilities % of COGS + Opex</t>
  </si>
  <si>
    <t>Capex Build</t>
  </si>
  <si>
    <t>Maintenance</t>
  </si>
  <si>
    <t>Growth</t>
  </si>
  <si>
    <t>Total Capex</t>
  </si>
  <si>
    <t>Maintenance % of Revenue</t>
  </si>
  <si>
    <t>Growth% of Revenue</t>
  </si>
  <si>
    <t>Total % of Revenue</t>
  </si>
  <si>
    <t>Industry Data</t>
  </si>
  <si>
    <t>Forecasted Industry Growth</t>
  </si>
  <si>
    <t>Communications</t>
  </si>
  <si>
    <t>Customer A</t>
  </si>
  <si>
    <t>Customer B</t>
  </si>
  <si>
    <t>Customer C</t>
  </si>
  <si>
    <t>Customer D</t>
  </si>
  <si>
    <t>Customer E</t>
  </si>
  <si>
    <t>Customer F</t>
  </si>
  <si>
    <t>Customer G</t>
  </si>
  <si>
    <t>Customer H</t>
  </si>
  <si>
    <t>Customer I</t>
  </si>
  <si>
    <t>Customer J</t>
  </si>
  <si>
    <t>Customer K</t>
  </si>
  <si>
    <t>Customer L</t>
  </si>
  <si>
    <t>Customer M</t>
  </si>
  <si>
    <t>Customer N</t>
  </si>
  <si>
    <t>Customer O</t>
  </si>
  <si>
    <t>Top 15 Customers</t>
  </si>
  <si>
    <t>% growth</t>
  </si>
  <si>
    <t>industry growth</t>
  </si>
  <si>
    <t>size impact</t>
  </si>
  <si>
    <t>Remaining Customers</t>
  </si>
  <si>
    <t>share taking</t>
  </si>
  <si>
    <t>Top 15 Customer Outgrowth</t>
  </si>
  <si>
    <t>Mix:</t>
  </si>
  <si>
    <t>Top 15</t>
  </si>
  <si>
    <t>Other</t>
  </si>
  <si>
    <t>Cloud Revenues</t>
  </si>
  <si>
    <t>Total Cloud Revenues</t>
  </si>
  <si>
    <t>Private Cloud Headwind</t>
  </si>
  <si>
    <t>cross-sell benefit</t>
  </si>
  <si>
    <t>Cross Sell Benefit:</t>
  </si>
  <si>
    <t>Infrastructure Sales</t>
  </si>
  <si>
    <t>Cloud Attach (bps)</t>
  </si>
  <si>
    <t>impact to growth (%)</t>
  </si>
  <si>
    <t>Consulting Revenue</t>
  </si>
  <si>
    <t>Total Consulting Revenues</t>
  </si>
  <si>
    <t xml:space="preserve">share taking </t>
  </si>
  <si>
    <t>NT restructuring headwind</t>
  </si>
  <si>
    <t>cross-sell</t>
  </si>
  <si>
    <t>Cross Sell Benefit</t>
  </si>
  <si>
    <t>Consulting Attach (bps)</t>
  </si>
  <si>
    <t>Consulting Revenues</t>
  </si>
  <si>
    <t>T15 Customers Revenue</t>
  </si>
  <si>
    <t>Other Customers Revenue</t>
  </si>
  <si>
    <t>Communications Revenue</t>
  </si>
  <si>
    <t>Total Communications Revenue</t>
  </si>
  <si>
    <t>Comms Attach (bps)</t>
  </si>
  <si>
    <t>Comms Revenues</t>
  </si>
  <si>
    <t>Cross Sell Toggles</t>
  </si>
  <si>
    <t>None</t>
  </si>
  <si>
    <t>High</t>
  </si>
  <si>
    <t>Strictly private &amp; confidential</t>
  </si>
  <si>
    <t xml:space="preserve">There can be no assurance this investment will achieve its objectives or avoid losses. </t>
  </si>
  <si>
    <t>Top Customer Financials</t>
  </si>
  <si>
    <t>$m</t>
  </si>
  <si>
    <t>2019A</t>
  </si>
  <si>
    <t>2020A</t>
  </si>
  <si>
    <t>2024E</t>
  </si>
  <si>
    <t>Rank</t>
  </si>
  <si>
    <t>Infrastructure Revenue</t>
  </si>
  <si>
    <t>Gross Margin</t>
  </si>
  <si>
    <t>Revenue Growth</t>
  </si>
  <si>
    <t>Top 15 Total</t>
  </si>
  <si>
    <t>Rest of Customers</t>
  </si>
  <si>
    <t>Total infrastructure</t>
  </si>
  <si>
    <t>Cloud Revenue</t>
  </si>
  <si>
    <t>Total Cloud</t>
  </si>
  <si>
    <t>Total Consulting</t>
  </si>
  <si>
    <t>Comms Revenue</t>
  </si>
  <si>
    <t>Total Comms</t>
  </si>
  <si>
    <t>Total</t>
  </si>
  <si>
    <t>Date</t>
  </si>
  <si>
    <t>1-month Term SOFR</t>
  </si>
  <si>
    <t>3-month Term SOFR</t>
  </si>
  <si>
    <t>Secured Overnight Financing Rate (SOFR) Forward Curves</t>
  </si>
  <si>
    <t>SOFR</t>
  </si>
  <si>
    <t>Latest curve as of 23 Oct 2025 | 16:00 EDT</t>
  </si>
  <si>
    <t>For the latest rates, please visit:</t>
  </si>
  <si>
    <t>https://example.com/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</si>
</sst>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4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\x_);_(* \(#,##0.00\x\);_(* &quot;-&quot;?_);_(@_)"/>
    <numFmt numFmtId="165" formatCode="&quot;$&quot;#,##0"/>
    <numFmt numFmtId="166" formatCode="#,##0.0\x;[Red]\(#,##0.0\)"/>
    <numFmt numFmtId="167" formatCode="_(* #,##0_);_(* \(#,##0\);_(* &quot;-&quot;??_);_(@_)"/>
    <numFmt numFmtId="168" formatCode="0.0%"/>
    <numFmt numFmtId="169" formatCode="_(* #,##0.0_);_(* \(#,##0.0\);_(* &quot;-&quot;??_);_(@_)"/>
    <numFmt numFmtId="170" formatCode="_(* #,##0.0\x_);_(* \(#,##0.0\x\);_(* &quot;-&quot;?_);_(@_)"/>
    <numFmt numFmtId="171" formatCode="&quot;$&quot;#,##0.0"/>
    <numFmt numFmtId="172" formatCode="* _(#,##0.00\x;* \(#,##0.00\);* _(&quot;-&quot;?_);_(@_)"/>
    <numFmt numFmtId="173" formatCode="#,##0.00000_);[Red]\(#,##0.00000\)"/>
    <numFmt numFmtId="174" formatCode="_(* #,##0.0_);_(* \(#,##0.0\);_(* &quot;-&quot;?_);_(@_)"/>
    <numFmt numFmtId="175" formatCode="_(* #,##0.0_);_(* \(#,##0.0\);_(* &quot;-&quot;_);_(@_)"/>
    <numFmt numFmtId="176" formatCode="#,##0.0\x;\(#,##0\)"/>
    <numFmt numFmtId="177" formatCode="#,##0.0\x;\(#,##0.0\)"/>
    <numFmt numFmtId="178" formatCode="* _(#,##0.0_);* \(#,##0.0\);* _(&quot;-&quot;?_);_(@_)"/>
    <numFmt numFmtId="179" formatCode="_(* #,##0.000000000000_);_(* \(#,##0.000000000000\);_(* &quot;-&quot;??_);_(@_)"/>
    <numFmt numFmtId="180" formatCode="0%;\(0%\)"/>
    <numFmt numFmtId="181" formatCode="[$$-409]#,##0_);\([$$-409]#,##0\);&quot;--&quot;_)"/>
    <numFmt numFmtId="182" formatCode="[$$-409]#,##0.0_);\([$$-409]#,##0.0\);&quot;--&quot;_)"/>
    <numFmt numFmtId="183" formatCode="0.0\x"/>
    <numFmt numFmtId="184" formatCode="[$$-409]#,##0.0_);\([$$-409]#,##0.0\)"/>
    <numFmt numFmtId="185" formatCode="0%;\(0%\);&quot;--&quot;_)"/>
    <numFmt numFmtId="186" formatCode="0.0%;\(0.0%\);&quot;--&quot;_)"/>
    <numFmt numFmtId="187" formatCode="0.00%;\(0.00%\);&quot;--&quot;_)"/>
    <numFmt numFmtId="188" formatCode="_([$$-409]* #,##0_);_([$$-409]* \(#,##0\);_([$$-409]* &quot;-&quot;??_);_(@_)"/>
    <numFmt numFmtId="189" formatCode="0.0%;\(0.0%\)"/>
    <numFmt numFmtId="190" formatCode="[$$-409]#,##0.00_);\([$$-409]#,##0.00\)"/>
    <numFmt numFmtId="191" formatCode="0.00000%"/>
    <numFmt numFmtId="192" formatCode="0.0%;\(0.0%\);&quot;--&quot;"/>
    <numFmt numFmtId="193" formatCode="0.000%;\(0.000%\);&quot;--&quot;_)"/>
    <numFmt numFmtId="194" formatCode="0.000000%"/>
    <numFmt numFmtId="195" formatCode="0.0000%"/>
    <numFmt numFmtId="196" formatCode="&quot;$&quot;#,##0.0000"/>
    <numFmt numFmtId="197" formatCode="#,##0.000\x;\(#,##0.000\)"/>
    <numFmt numFmtId="198" formatCode="* _(#,##0.0\x;* \(#,##0.0\);* _(&quot;-&quot;?_);_(@_)"/>
    <numFmt numFmtId="199" formatCode="_(* #,##0.0%_);_(* \(#,##0.0%\);_(* &quot;-&quot;?_);_(@_)"/>
    <numFmt numFmtId="200" formatCode="yyyy\A"/>
    <numFmt numFmtId="201" formatCode="yyyy\E"/>
    <numFmt numFmtId="202" formatCode="0000&quot;A&quot;"/>
    <numFmt numFmtId="203" formatCode="General&quot;E&quot;"/>
    <numFmt numFmtId="204" formatCode="m/dd/yy&quot;E&quot;"/>
    <numFmt numFmtId="205" formatCode="&quot;$&quot;#,##0.0_);\(&quot;$&quot;#,##0.0\)"/>
    <numFmt numFmtId="206" formatCode="0.0%_);\(0.0%\);0.0%_);@_)"/>
    <numFmt numFmtId="207" formatCode="0.0%_);\(0.0%\);&quot;--&quot;_);@_)"/>
    <numFmt numFmtId="208" formatCode="#,##0.0_);\(#,##0.0\)"/>
    <numFmt numFmtId="209" formatCode="[$$-409]#,##0.0_);\([$$-409]#,##0.0\);[$$-409]#,##0.0_);@_)"/>
    <numFmt numFmtId="210" formatCode="&quot;ON&quot;;;&quot;OFF&quot;"/>
    <numFmt numFmtId="211" formatCode="&quot;$&quot;#,##0.0_);\(&quot;$&quot;#,##0.0\);&quot;--&quot;_)"/>
    <numFmt numFmtId="212" formatCode="0%_);\(0%\);0%_);@_)"/>
    <numFmt numFmtId="213" formatCode="0.0&quot;x&quot;"/>
    <numFmt numFmtId="214" formatCode="0.0"/>
  </numFmts>
  <fonts count="94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2"/>
      <color rgb="FF0070C0"/>
      <name val="Arial"/>
      <family val="2"/>
    </font>
    <font>
      <u/>
      <sz val="12"/>
      <color theme="1"/>
      <name val="Arial"/>
      <family val="2"/>
    </font>
    <font>
      <sz val="10"/>
      <name val="Arial"/>
      <family val="2"/>
    </font>
    <font>
      <i/>
      <sz val="10"/>
      <color theme="1"/>
      <name val="Arial"/>
      <family val="2"/>
    </font>
    <font>
      <b/>
      <u/>
      <sz val="12"/>
      <color theme="1"/>
      <name val="Arial"/>
      <family val="2"/>
    </font>
    <font>
      <sz val="12"/>
      <color theme="2" tint="-0.499984740745262"/>
      <name val="Arial"/>
      <family val="2"/>
    </font>
    <font>
      <u val="singleAccounting"/>
      <sz val="12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name val="MS Sans Serif"/>
      <family val="2"/>
    </font>
    <font>
      <b/>
      <sz val="10"/>
      <name val="Arial"/>
      <family val="2"/>
    </font>
    <font>
      <sz val="12"/>
      <color theme="2" tint="-0.249977111117893"/>
      <name val="Arial"/>
      <family val="2"/>
    </font>
    <font>
      <sz val="20"/>
      <color theme="2" tint="-0.249977111117893"/>
      <name val="Arial"/>
      <family val="2"/>
    </font>
    <font>
      <sz val="12"/>
      <color theme="4"/>
      <name val="Arial"/>
      <family val="2"/>
    </font>
    <font>
      <sz val="10"/>
      <color theme="4"/>
      <name val="Arial"/>
      <family val="2"/>
    </font>
    <font>
      <b/>
      <sz val="14"/>
      <color theme="0"/>
      <name val="Arial"/>
      <family val="2"/>
    </font>
    <font>
      <b/>
      <sz val="12"/>
      <color theme="0"/>
      <name val="Arial"/>
      <family val="2"/>
    </font>
    <font>
      <sz val="14"/>
      <color theme="0"/>
      <name val="Arial"/>
      <family val="2"/>
    </font>
    <font>
      <b/>
      <sz val="12"/>
      <color rgb="FFFF0000"/>
      <name val="Arial"/>
      <family val="2"/>
    </font>
    <font>
      <b/>
      <sz val="12"/>
      <color theme="2" tint="-0.249977111117893"/>
      <name val="Arial"/>
      <family val="2"/>
    </font>
    <font>
      <b/>
      <sz val="12"/>
      <color rgb="FF0070C0"/>
      <name val="Arial"/>
      <family val="2"/>
    </font>
    <font>
      <sz val="12"/>
      <color rgb="FFFF0000"/>
      <name val="Arial"/>
      <family val="2"/>
    </font>
    <font>
      <b/>
      <i/>
      <sz val="12"/>
      <color theme="1"/>
      <name val="Arial"/>
      <family val="2"/>
    </font>
    <font>
      <sz val="16"/>
      <color rgb="FFFF0000"/>
      <name val="Arial"/>
      <family val="2"/>
    </font>
    <font>
      <u/>
      <sz val="12"/>
      <color theme="10"/>
      <name val="Calibri"/>
      <family val="2"/>
      <scheme val="minor"/>
    </font>
    <font>
      <sz val="10"/>
      <color theme="1"/>
      <name val="TCPNeueHaasGroteskDisp Pro"/>
      <family val="2"/>
    </font>
    <font>
      <b/>
      <sz val="10"/>
      <color theme="1"/>
      <name val="TCPNeueHaasGroteskDisp Pro"/>
      <family val="2"/>
    </font>
    <font>
      <i/>
      <sz val="10"/>
      <color theme="1"/>
      <name val="TCPNeueHaasGroteskDisp Pro"/>
      <family val="2"/>
    </font>
    <font>
      <u/>
      <sz val="10"/>
      <color theme="1"/>
      <name val="TCPNeueHaasGroteskDisp Pro"/>
      <family val="2"/>
    </font>
    <font>
      <b/>
      <i/>
      <sz val="10"/>
      <color theme="1"/>
      <name val="TCPNeueHaasGroteskDisp Pro"/>
      <family val="2"/>
    </font>
    <font>
      <sz val="10"/>
      <name val="TCPNeueHaasGroteskDisp Pro"/>
      <family val="2"/>
    </font>
    <font>
      <sz val="10"/>
      <color theme="0"/>
      <name val="TCPNeueHaasGroteskDisp Pro"/>
      <family val="2"/>
    </font>
    <font>
      <b/>
      <sz val="10"/>
      <color theme="0"/>
      <name val="TCPNeueHaasGroteskDisp Pro"/>
      <family val="2"/>
    </font>
    <font>
      <sz val="9"/>
      <color theme="1"/>
      <name val="TCPNeueHaasGroteskDisp Pro"/>
      <family val="2"/>
    </font>
    <font>
      <sz val="10"/>
      <color rgb="FF0000FF"/>
      <name val="TCPNeueHaasGroteskDisp Pro"/>
      <family val="2"/>
    </font>
    <font>
      <b/>
      <i/>
      <sz val="10"/>
      <color rgb="FFFF0000"/>
      <name val="TCPNeueHaasGroteskDisp Pro"/>
      <family val="2"/>
    </font>
    <font>
      <sz val="10"/>
      <color rgb="FF008000"/>
      <name val="TCPNeueHaasGroteskDisp Pro"/>
      <family val="2"/>
    </font>
    <font>
      <b/>
      <sz val="10"/>
      <color rgb="FF008000"/>
      <name val="TCPNeueHaasGroteskDisp Pro"/>
      <family val="2"/>
    </font>
    <font>
      <i/>
      <sz val="10"/>
      <color rgb="FF008000"/>
      <name val="TCPNeueHaasGroteskDisp Pro"/>
      <family val="2"/>
    </font>
    <font>
      <sz val="11"/>
      <color theme="1"/>
      <name val="Arial"/>
      <family val="2"/>
    </font>
    <font>
      <sz val="10"/>
      <color rgb="FF008000"/>
      <name val="Arial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2"/>
      <color rgb="FF008000"/>
      <name val="Arial"/>
      <family val="2"/>
    </font>
    <font>
      <i/>
      <sz val="12"/>
      <name val="Arial"/>
      <family val="2"/>
    </font>
    <font>
      <sz val="12"/>
      <color rgb="FF0000FF"/>
      <name val="Arial"/>
      <family val="2"/>
    </font>
    <font>
      <u/>
      <sz val="12"/>
      <color rgb="FF0000FF"/>
      <name val="Arial"/>
      <family val="2"/>
    </font>
    <font>
      <b/>
      <sz val="12"/>
      <color rgb="FF0000FF"/>
      <name val="Arial"/>
      <family val="2"/>
    </font>
    <font>
      <sz val="11"/>
      <color theme="1"/>
      <name val="Calibri"/>
      <family val="2"/>
    </font>
    <font>
      <b/>
      <u/>
      <sz val="11"/>
      <color rgb="FF007CBA"/>
      <name val="Calibri"/>
      <family val="2"/>
    </font>
    <font>
      <b/>
      <sz val="12"/>
      <color theme="1"/>
      <name val="Calibri"/>
      <family val="2"/>
    </font>
    <font>
      <sz val="20"/>
      <color rgb="FF003C78"/>
      <name val="Calibri"/>
      <family val="2"/>
    </font>
    <font>
      <b/>
      <sz val="10"/>
      <color rgb="FF1F2322"/>
      <name val="Lato"/>
      <family val="2"/>
    </font>
    <font>
      <sz val="10"/>
      <color rgb="FF1F2322"/>
      <name val="Lato"/>
      <family val="2"/>
    </font>
    <font>
      <sz val="12"/>
      <name val="Arial"/>
      <family val="2"/>
    </font>
    <font>
      <sz val="10"/>
      <color theme="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rgb="FF008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u val="singleAccounting"/>
      <sz val="10"/>
      <name val="Calibri"/>
      <family val="2"/>
      <scheme val="minor"/>
    </font>
    <font>
      <b/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i/>
      <sz val="10"/>
      <color rgb="FF0000FF"/>
      <name val="Calibri"/>
      <family val="2"/>
      <scheme val="minor"/>
    </font>
    <font>
      <i/>
      <sz val="10"/>
      <color rgb="FF008000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0"/>
      <color theme="0"/>
      <name val="Calibri"/>
      <family val="2"/>
      <scheme val="minor"/>
    </font>
    <font>
      <sz val="10"/>
      <color rgb="FFC00000"/>
      <name val="Calibri"/>
      <family val="2"/>
      <scheme val="minor"/>
    </font>
    <font>
      <u/>
      <sz val="10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sz val="10"/>
      <color theme="0"/>
      <name val="Garamond"/>
      <family val="1"/>
    </font>
    <font>
      <sz val="10"/>
      <color theme="0"/>
      <name val="Garamond"/>
      <family val="1"/>
    </font>
    <font>
      <sz val="10"/>
      <color theme="1"/>
      <name val="Garamond"/>
      <family val="1"/>
    </font>
    <font>
      <b/>
      <sz val="10"/>
      <name val="Garamond"/>
      <family val="1"/>
    </font>
    <font>
      <sz val="10"/>
      <color rgb="FF008000"/>
      <name val="Garamond"/>
      <family val="1"/>
    </font>
    <font>
      <sz val="10"/>
      <color rgb="FF0000FF"/>
      <name val="Garamond"/>
      <family val="1"/>
    </font>
    <font>
      <b/>
      <sz val="10"/>
      <color theme="1"/>
      <name val="Garamond"/>
      <family val="1"/>
    </font>
    <font>
      <u/>
      <sz val="14"/>
      <color theme="1"/>
      <name val="Garamond"/>
      <family val="1"/>
    </font>
    <font>
      <b/>
      <sz val="14"/>
      <color theme="1"/>
      <name val="Garamond"/>
      <family val="1"/>
    </font>
    <font>
      <sz val="14"/>
      <color theme="1"/>
      <name val="Garamond"/>
      <family val="1"/>
    </font>
    <font>
      <i/>
      <sz val="14"/>
      <color theme="1"/>
      <name val="Garamond"/>
      <family val="1"/>
    </font>
    <font>
      <b/>
      <sz val="14"/>
      <color rgb="FFFF0000"/>
      <name val="Garamond"/>
      <family val="1"/>
    </font>
    <font>
      <b/>
      <u/>
      <sz val="10"/>
      <name val="Garamond"/>
      <family val="1"/>
    </font>
  </fonts>
  <fills count="2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FFFFF"/>
        <bgColor indexed="64"/>
      </patternFill>
    </fill>
    <fill>
      <patternFill patternType="darkUp"/>
    </fill>
  </fills>
  <borders count="3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/>
      <bottom style="dotted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auto="1"/>
      </left>
      <right/>
      <top style="thin">
        <color indexed="64"/>
      </top>
      <bottom/>
      <diagonal/>
    </border>
    <border>
      <left style="dotted">
        <color auto="1"/>
      </left>
      <right/>
      <top/>
      <bottom style="thin">
        <color indexed="64"/>
      </bottom>
      <diagonal/>
    </border>
    <border>
      <left style="dotted">
        <color indexed="64"/>
      </left>
      <right style="thin">
        <color indexed="64"/>
      </right>
      <top/>
      <bottom/>
      <diagonal/>
    </border>
    <border>
      <left style="dotted">
        <color auto="1"/>
      </left>
      <right style="thin">
        <color indexed="64"/>
      </right>
      <top/>
      <bottom style="thin">
        <color indexed="64"/>
      </bottom>
      <diagonal/>
    </border>
    <border>
      <left style="dotted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/>
      <top/>
      <bottom style="thick">
        <color rgb="FFE3E3E3"/>
      </bottom>
      <diagonal/>
    </border>
    <border>
      <left/>
      <right/>
      <top/>
      <bottom style="medium">
        <color rgb="FFE3E3E3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 style="dotted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tted">
        <color indexed="64"/>
      </right>
      <top style="thin">
        <color indexed="64"/>
      </top>
      <bottom/>
      <diagonal/>
    </border>
    <border>
      <left/>
      <right style="dotted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2">
    <xf numFmtId="0" fontId="0" fillId="0" borderId="0"/>
    <xf numFmtId="43" fontId="2" fillId="0" borderId="0"/>
    <xf numFmtId="44" fontId="2" fillId="0" borderId="0"/>
    <xf numFmtId="9" fontId="2" fillId="0" borderId="0"/>
    <xf numFmtId="0" fontId="17" fillId="0" borderId="0"/>
    <xf numFmtId="0" fontId="32" fillId="0" borderId="0"/>
    <xf numFmtId="0" fontId="1" fillId="0" borderId="0"/>
    <xf numFmtId="43" fontId="1" fillId="0" borderId="0"/>
    <xf numFmtId="0" fontId="47" fillId="0" borderId="0"/>
    <xf numFmtId="43" fontId="49" fillId="0" borderId="0"/>
    <xf numFmtId="43" fontId="47" fillId="0" borderId="0"/>
    <xf numFmtId="0" fontId="14" fillId="0" borderId="0"/>
  </cellStyleXfs>
  <cellXfs count="763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4" xfId="0" applyFont="1" applyBorder="1"/>
    <xf numFmtId="41" fontId="3" fillId="0" borderId="0" xfId="0" applyNumberFormat="1" applyFont="1"/>
    <xf numFmtId="0" fontId="3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164" fontId="3" fillId="0" borderId="0" xfId="0" applyNumberFormat="1" applyFont="1"/>
    <xf numFmtId="165" fontId="3" fillId="0" borderId="0" xfId="0" applyNumberFormat="1" applyFont="1"/>
    <xf numFmtId="9" fontId="3" fillId="0" borderId="4" xfId="3" applyFont="1" applyBorder="1"/>
    <xf numFmtId="166" fontId="3" fillId="0" borderId="0" xfId="0" applyNumberFormat="1" applyFont="1"/>
    <xf numFmtId="9" fontId="3" fillId="0" borderId="0" xfId="3" applyFont="1" applyAlignment="1">
      <alignment horizontal="center"/>
    </xf>
    <xf numFmtId="9" fontId="3" fillId="0" borderId="0" xfId="3" applyFont="1"/>
    <xf numFmtId="0" fontId="3" fillId="0" borderId="2" xfId="0" applyFont="1" applyBorder="1"/>
    <xf numFmtId="9" fontId="6" fillId="0" borderId="2" xfId="3" applyFont="1" applyBorder="1"/>
    <xf numFmtId="41" fontId="3" fillId="0" borderId="2" xfId="0" applyNumberFormat="1" applyFont="1" applyBorder="1"/>
    <xf numFmtId="166" fontId="3" fillId="0" borderId="2" xfId="0" applyNumberFormat="1" applyFont="1" applyBorder="1"/>
    <xf numFmtId="167" fontId="3" fillId="0" borderId="0" xfId="1" applyNumberFormat="1" applyFont="1"/>
    <xf numFmtId="168" fontId="3" fillId="0" borderId="0" xfId="3" applyNumberFormat="1" applyFont="1"/>
    <xf numFmtId="166" fontId="5" fillId="0" borderId="2" xfId="0" applyNumberFormat="1" applyFont="1" applyBorder="1"/>
    <xf numFmtId="0" fontId="3" fillId="0" borderId="0" xfId="0" applyFont="1" applyAlignment="1">
      <alignment horizontal="center"/>
    </xf>
    <xf numFmtId="169" fontId="3" fillId="0" borderId="0" xfId="1" applyNumberFormat="1" applyFont="1"/>
    <xf numFmtId="0" fontId="10" fillId="0" borderId="4" xfId="0" applyFont="1" applyBorder="1" applyAlignment="1">
      <alignment horizontal="center"/>
    </xf>
    <xf numFmtId="0" fontId="3" fillId="0" borderId="9" xfId="0" applyFont="1" applyBorder="1"/>
    <xf numFmtId="167" fontId="3" fillId="0" borderId="9" xfId="1" applyNumberFormat="1" applyFont="1" applyBorder="1"/>
    <xf numFmtId="169" fontId="3" fillId="0" borderId="10" xfId="0" applyNumberFormat="1" applyFont="1" applyBorder="1"/>
    <xf numFmtId="170" fontId="3" fillId="0" borderId="0" xfId="0" applyNumberFormat="1" applyFont="1"/>
    <xf numFmtId="0" fontId="3" fillId="0" borderId="10" xfId="0" applyFont="1" applyBorder="1"/>
    <xf numFmtId="0" fontId="6" fillId="0" borderId="9" xfId="0" applyFont="1" applyBorder="1" applyAlignment="1">
      <alignment horizontal="center" wrapText="1"/>
    </xf>
    <xf numFmtId="167" fontId="3" fillId="0" borderId="0" xfId="0" applyNumberFormat="1" applyFont="1"/>
    <xf numFmtId="0" fontId="6" fillId="0" borderId="0" xfId="0" applyFont="1"/>
    <xf numFmtId="167" fontId="6" fillId="0" borderId="0" xfId="0" applyNumberFormat="1" applyFont="1"/>
    <xf numFmtId="0" fontId="3" fillId="3" borderId="0" xfId="0" applyFont="1" applyFill="1"/>
    <xf numFmtId="167" fontId="3" fillId="3" borderId="0" xfId="0" applyNumberFormat="1" applyFont="1" applyFill="1"/>
    <xf numFmtId="0" fontId="5" fillId="0" borderId="0" xfId="0" applyFont="1"/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/>
    <xf numFmtId="0" fontId="3" fillId="0" borderId="0" xfId="0" quotePrefix="1" applyFont="1"/>
    <xf numFmtId="168" fontId="7" fillId="0" borderId="0" xfId="3" applyNumberFormat="1" applyFont="1"/>
    <xf numFmtId="9" fontId="3" fillId="0" borderId="0" xfId="0" applyNumberFormat="1" applyFont="1"/>
    <xf numFmtId="0" fontId="3" fillId="0" borderId="0" xfId="0" quotePrefix="1" applyFont="1" applyAlignment="1">
      <alignment horizontal="center" vertical="top" wrapText="1"/>
    </xf>
    <xf numFmtId="168" fontId="3" fillId="0" borderId="0" xfId="0" applyNumberFormat="1" applyFont="1"/>
    <xf numFmtId="0" fontId="12" fillId="0" borderId="0" xfId="0" quotePrefix="1" applyFont="1"/>
    <xf numFmtId="171" fontId="3" fillId="0" borderId="0" xfId="0" applyNumberFormat="1" applyFont="1"/>
    <xf numFmtId="9" fontId="7" fillId="0" borderId="0" xfId="0" applyNumberFormat="1" applyFont="1"/>
    <xf numFmtId="169" fontId="3" fillId="0" borderId="0" xfId="0" applyNumberFormat="1" applyFont="1"/>
    <xf numFmtId="169" fontId="13" fillId="0" borderId="0" xfId="1" applyNumberFormat="1" applyFont="1"/>
    <xf numFmtId="9" fontId="7" fillId="0" borderId="0" xfId="3" applyFont="1"/>
    <xf numFmtId="43" fontId="3" fillId="0" borderId="0" xfId="0" applyNumberFormat="1" applyFont="1"/>
    <xf numFmtId="0" fontId="3" fillId="0" borderId="0" xfId="0" applyFont="1" applyAlignment="1">
      <alignment horizontal="right"/>
    </xf>
    <xf numFmtId="170" fontId="7" fillId="0" borderId="12" xfId="0" applyNumberFormat="1" applyFont="1" applyBorder="1"/>
    <xf numFmtId="165" fontId="8" fillId="0" borderId="0" xfId="0" applyNumberFormat="1" applyFont="1"/>
    <xf numFmtId="0" fontId="14" fillId="0" borderId="0" xfId="0" applyFont="1"/>
    <xf numFmtId="9" fontId="14" fillId="0" borderId="0" xfId="3" applyFont="1" applyAlignment="1">
      <alignment horizontal="right"/>
    </xf>
    <xf numFmtId="0" fontId="15" fillId="0" borderId="0" xfId="0" applyFont="1"/>
    <xf numFmtId="0" fontId="15" fillId="0" borderId="0" xfId="0" applyFont="1" applyAlignment="1">
      <alignment horizontal="right"/>
    </xf>
    <xf numFmtId="14" fontId="8" fillId="0" borderId="0" xfId="0" applyNumberFormat="1" applyFont="1"/>
    <xf numFmtId="14" fontId="16" fillId="0" borderId="0" xfId="0" applyNumberFormat="1" applyFont="1" applyAlignment="1">
      <alignment horizontal="center"/>
    </xf>
    <xf numFmtId="9" fontId="16" fillId="0" borderId="0" xfId="3" applyFont="1" applyAlignment="1">
      <alignment horizontal="center"/>
    </xf>
    <xf numFmtId="172" fontId="7" fillId="0" borderId="0" xfId="0" applyNumberFormat="1" applyFont="1"/>
    <xf numFmtId="168" fontId="3" fillId="2" borderId="0" xfId="3" applyNumberFormat="1" applyFont="1" applyFill="1"/>
    <xf numFmtId="0" fontId="19" fillId="2" borderId="0" xfId="0" applyFont="1" applyFill="1"/>
    <xf numFmtId="173" fontId="19" fillId="2" borderId="0" xfId="0" applyNumberFormat="1" applyFont="1" applyFill="1"/>
    <xf numFmtId="167" fontId="20" fillId="2" borderId="0" xfId="0" applyNumberFormat="1" applyFont="1" applyFill="1"/>
    <xf numFmtId="0" fontId="20" fillId="2" borderId="0" xfId="0" applyFont="1" applyFill="1"/>
    <xf numFmtId="174" fontId="20" fillId="2" borderId="0" xfId="0" applyNumberFormat="1" applyFont="1" applyFill="1"/>
    <xf numFmtId="0" fontId="5" fillId="0" borderId="2" xfId="0" applyFont="1" applyBorder="1"/>
    <xf numFmtId="165" fontId="5" fillId="0" borderId="2" xfId="2" applyNumberFormat="1" applyFont="1" applyBorder="1"/>
    <xf numFmtId="167" fontId="3" fillId="0" borderId="0" xfId="1" applyNumberFormat="1" applyFont="1" applyAlignment="1">
      <alignment horizontal="center" wrapText="1"/>
    </xf>
    <xf numFmtId="167" fontId="14" fillId="0" borderId="4" xfId="0" applyNumberFormat="1" applyFont="1" applyBorder="1"/>
    <xf numFmtId="0" fontId="5" fillId="0" borderId="5" xfId="0" applyFont="1" applyBorder="1"/>
    <xf numFmtId="167" fontId="5" fillId="0" borderId="5" xfId="0" applyNumberFormat="1" applyFont="1" applyBorder="1"/>
    <xf numFmtId="167" fontId="5" fillId="0" borderId="5" xfId="1" applyNumberFormat="1" applyFont="1" applyBorder="1"/>
    <xf numFmtId="169" fontId="5" fillId="0" borderId="11" xfId="0" applyNumberFormat="1" applyFont="1" applyBorder="1"/>
    <xf numFmtId="170" fontId="5" fillId="0" borderId="0" xfId="0" applyNumberFormat="1" applyFont="1"/>
    <xf numFmtId="0" fontId="8" fillId="0" borderId="0" xfId="0" applyFont="1"/>
    <xf numFmtId="165" fontId="5" fillId="0" borderId="2" xfId="0" applyNumberFormat="1" applyFont="1" applyBorder="1"/>
    <xf numFmtId="0" fontId="12" fillId="0" borderId="0" xfId="0" quotePrefix="1" applyFont="1" applyAlignment="1">
      <alignment horizontal="left" vertical="top"/>
    </xf>
    <xf numFmtId="0" fontId="12" fillId="2" borderId="0" xfId="0" applyFont="1" applyFill="1"/>
    <xf numFmtId="167" fontId="12" fillId="2" borderId="0" xfId="0" applyNumberFormat="1" applyFont="1" applyFill="1"/>
    <xf numFmtId="0" fontId="3" fillId="2" borderId="0" xfId="0" applyFont="1" applyFill="1"/>
    <xf numFmtId="0" fontId="11" fillId="2" borderId="0" xfId="0" applyFont="1" applyFill="1" applyAlignment="1">
      <alignment horizontal="center"/>
    </xf>
    <xf numFmtId="169" fontId="3" fillId="2" borderId="5" xfId="1" applyNumberFormat="1" applyFont="1" applyFill="1" applyBorder="1"/>
    <xf numFmtId="175" fontId="3" fillId="2" borderId="5" xfId="0" applyNumberFormat="1" applyFont="1" applyFill="1" applyBorder="1"/>
    <xf numFmtId="170" fontId="3" fillId="2" borderId="5" xfId="0" applyNumberFormat="1" applyFont="1" applyFill="1" applyBorder="1"/>
    <xf numFmtId="167" fontId="3" fillId="2" borderId="5" xfId="1" applyNumberFormat="1" applyFont="1" applyFill="1" applyBorder="1"/>
    <xf numFmtId="0" fontId="3" fillId="2" borderId="13" xfId="0" applyFont="1" applyFill="1" applyBorder="1"/>
    <xf numFmtId="0" fontId="9" fillId="2" borderId="9" xfId="4" applyFont="1" applyFill="1" applyBorder="1"/>
    <xf numFmtId="167" fontId="3" fillId="2" borderId="9" xfId="0" applyNumberFormat="1" applyFont="1" applyFill="1" applyBorder="1"/>
    <xf numFmtId="167" fontId="3" fillId="2" borderId="10" xfId="0" applyNumberFormat="1" applyFont="1" applyFill="1" applyBorder="1"/>
    <xf numFmtId="0" fontId="3" fillId="2" borderId="14" xfId="0" applyFont="1" applyFill="1" applyBorder="1"/>
    <xf numFmtId="0" fontId="9" fillId="2" borderId="0" xfId="4" applyFont="1" applyFill="1"/>
    <xf numFmtId="167" fontId="3" fillId="2" borderId="0" xfId="1" applyNumberFormat="1" applyFont="1" applyFill="1"/>
    <xf numFmtId="167" fontId="3" fillId="2" borderId="4" xfId="1" applyNumberFormat="1" applyFont="1" applyFill="1" applyBorder="1"/>
    <xf numFmtId="0" fontId="5" fillId="2" borderId="15" xfId="0" applyFont="1" applyFill="1" applyBorder="1"/>
    <xf numFmtId="0" fontId="18" fillId="2" borderId="5" xfId="4" applyFont="1" applyFill="1" applyBorder="1"/>
    <xf numFmtId="176" fontId="5" fillId="2" borderId="5" xfId="0" applyNumberFormat="1" applyFont="1" applyFill="1" applyBorder="1"/>
    <xf numFmtId="176" fontId="5" fillId="2" borderId="11" xfId="0" applyNumberFormat="1" applyFont="1" applyFill="1" applyBorder="1"/>
    <xf numFmtId="0" fontId="18" fillId="2" borderId="9" xfId="4" applyFont="1" applyFill="1" applyBorder="1"/>
    <xf numFmtId="0" fontId="3" fillId="2" borderId="9" xfId="0" applyFont="1" applyFill="1" applyBorder="1"/>
    <xf numFmtId="0" fontId="3" fillId="2" borderId="10" xfId="0" applyFont="1" applyFill="1" applyBorder="1"/>
    <xf numFmtId="0" fontId="9" fillId="2" borderId="5" xfId="4" applyFont="1" applyFill="1" applyBorder="1"/>
    <xf numFmtId="168" fontId="3" fillId="2" borderId="5" xfId="3" applyNumberFormat="1" applyFont="1" applyFill="1" applyBorder="1"/>
    <xf numFmtId="168" fontId="3" fillId="2" borderId="11" xfId="3" applyNumberFormat="1" applyFont="1" applyFill="1" applyBorder="1"/>
    <xf numFmtId="165" fontId="3" fillId="2" borderId="0" xfId="0" applyNumberFormat="1" applyFont="1" applyFill="1"/>
    <xf numFmtId="177" fontId="6" fillId="2" borderId="0" xfId="0" applyNumberFormat="1" applyFont="1" applyFill="1" applyAlignment="1">
      <alignment horizontal="right"/>
    </xf>
    <xf numFmtId="165" fontId="9" fillId="2" borderId="0" xfId="4" applyNumberFormat="1" applyFont="1" applyFill="1"/>
    <xf numFmtId="0" fontId="5" fillId="2" borderId="13" xfId="0" applyFont="1" applyFill="1" applyBorder="1"/>
    <xf numFmtId="9" fontId="3" fillId="2" borderId="9" xfId="0" applyNumberFormat="1" applyFont="1" applyFill="1" applyBorder="1"/>
    <xf numFmtId="178" fontId="3" fillId="2" borderId="9" xfId="0" applyNumberFormat="1" applyFont="1" applyFill="1" applyBorder="1"/>
    <xf numFmtId="9" fontId="3" fillId="2" borderId="0" xfId="0" applyNumberFormat="1" applyFont="1" applyFill="1"/>
    <xf numFmtId="178" fontId="3" fillId="2" borderId="0" xfId="0" applyNumberFormat="1" applyFont="1" applyFill="1"/>
    <xf numFmtId="0" fontId="3" fillId="2" borderId="4" xfId="0" applyFont="1" applyFill="1" applyBorder="1"/>
    <xf numFmtId="0" fontId="11" fillId="2" borderId="14" xfId="0" applyFont="1" applyFill="1" applyBorder="1"/>
    <xf numFmtId="169" fontId="3" fillId="2" borderId="0" xfId="1" applyNumberFormat="1" applyFont="1" applyFill="1"/>
    <xf numFmtId="0" fontId="5" fillId="2" borderId="0" xfId="0" applyFont="1" applyFill="1"/>
    <xf numFmtId="174" fontId="3" fillId="2" borderId="0" xfId="0" applyNumberFormat="1" applyFont="1" applyFill="1"/>
    <xf numFmtId="175" fontId="3" fillId="2" borderId="0" xfId="0" applyNumberFormat="1" applyFont="1" applyFill="1"/>
    <xf numFmtId="0" fontId="15" fillId="2" borderId="0" xfId="0" applyFont="1" applyFill="1"/>
    <xf numFmtId="43" fontId="15" fillId="2" borderId="0" xfId="1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18" fillId="2" borderId="0" xfId="4" applyFont="1" applyFill="1"/>
    <xf numFmtId="1" fontId="3" fillId="2" borderId="0" xfId="0" applyNumberFormat="1" applyFont="1" applyFill="1"/>
    <xf numFmtId="1" fontId="3" fillId="2" borderId="0" xfId="1" applyNumberFormat="1" applyFont="1" applyFill="1"/>
    <xf numFmtId="167" fontId="3" fillId="2" borderId="0" xfId="0" applyNumberFormat="1" applyFont="1" applyFill="1"/>
    <xf numFmtId="0" fontId="3" fillId="2" borderId="15" xfId="0" applyFont="1" applyFill="1" applyBorder="1"/>
    <xf numFmtId="0" fontId="3" fillId="2" borderId="5" xfId="0" applyFont="1" applyFill="1" applyBorder="1"/>
    <xf numFmtId="0" fontId="3" fillId="2" borderId="11" xfId="0" applyFont="1" applyFill="1" applyBorder="1"/>
    <xf numFmtId="0" fontId="3" fillId="2" borderId="0" xfId="0" quotePrefix="1" applyFont="1" applyFill="1"/>
    <xf numFmtId="168" fontId="21" fillId="0" borderId="0" xfId="3" applyNumberFormat="1" applyFont="1"/>
    <xf numFmtId="179" fontId="3" fillId="2" borderId="0" xfId="0" applyNumberFormat="1" applyFont="1" applyFill="1"/>
    <xf numFmtId="0" fontId="3" fillId="0" borderId="0" xfId="0" quotePrefix="1" applyFont="1" applyAlignment="1">
      <alignment horizontal="left" vertical="top" wrapText="1"/>
    </xf>
    <xf numFmtId="168" fontId="14" fillId="0" borderId="0" xfId="3" applyNumberFormat="1" applyFont="1"/>
    <xf numFmtId="168" fontId="22" fillId="0" borderId="0" xfId="3" applyNumberFormat="1" applyFont="1"/>
    <xf numFmtId="0" fontId="23" fillId="4" borderId="1" xfId="0" applyFont="1" applyFill="1" applyBorder="1"/>
    <xf numFmtId="0" fontId="23" fillId="4" borderId="2" xfId="0" applyFont="1" applyFill="1" applyBorder="1"/>
    <xf numFmtId="0" fontId="24" fillId="4" borderId="3" xfId="0" applyFont="1" applyFill="1" applyBorder="1"/>
    <xf numFmtId="0" fontId="25" fillId="4" borderId="2" xfId="0" applyFont="1" applyFill="1" applyBorder="1"/>
    <xf numFmtId="0" fontId="25" fillId="4" borderId="3" xfId="0" applyFont="1" applyFill="1" applyBorder="1"/>
    <xf numFmtId="168" fontId="14" fillId="0" borderId="0" xfId="3" quotePrefix="1" applyNumberFormat="1" applyFont="1"/>
    <xf numFmtId="9" fontId="14" fillId="0" borderId="0" xfId="0" applyNumberFormat="1" applyFont="1"/>
    <xf numFmtId="169" fontId="7" fillId="0" borderId="0" xfId="1" applyNumberFormat="1" applyFont="1"/>
    <xf numFmtId="169" fontId="21" fillId="0" borderId="0" xfId="1" applyNumberFormat="1" applyFont="1"/>
    <xf numFmtId="0" fontId="14" fillId="0" borderId="0" xfId="0" applyFont="1" applyAlignment="1">
      <alignment horizontal="right"/>
    </xf>
    <xf numFmtId="0" fontId="3" fillId="5" borderId="0" xfId="0" applyFont="1" applyFill="1"/>
    <xf numFmtId="0" fontId="8" fillId="5" borderId="0" xfId="0" applyFont="1" applyFill="1" applyAlignment="1">
      <alignment horizontal="center"/>
    </xf>
    <xf numFmtId="167" fontId="12" fillId="0" borderId="0" xfId="0" quotePrefix="1" applyNumberFormat="1" applyFont="1"/>
    <xf numFmtId="0" fontId="19" fillId="0" borderId="0" xfId="0" applyFont="1"/>
    <xf numFmtId="165" fontId="9" fillId="0" borderId="0" xfId="4" applyNumberFormat="1" applyFont="1"/>
    <xf numFmtId="0" fontId="5" fillId="0" borderId="1" xfId="0" applyFont="1" applyBorder="1"/>
    <xf numFmtId="43" fontId="3" fillId="0" borderId="2" xfId="1" applyFont="1" applyBorder="1"/>
    <xf numFmtId="169" fontId="9" fillId="0" borderId="0" xfId="1" applyNumberFormat="1" applyFont="1"/>
    <xf numFmtId="169" fontId="8" fillId="0" borderId="0" xfId="1" applyNumberFormat="1" applyFont="1"/>
    <xf numFmtId="169" fontId="3" fillId="0" borderId="2" xfId="1" applyNumberFormat="1" applyFont="1" applyBorder="1"/>
    <xf numFmtId="0" fontId="12" fillId="2" borderId="0" xfId="0" applyFont="1" applyFill="1" applyAlignment="1">
      <alignment horizontal="left"/>
    </xf>
    <xf numFmtId="0" fontId="5" fillId="0" borderId="1" xfId="0" applyFont="1" applyBorder="1" applyAlignment="1">
      <alignment horizontal="right"/>
    </xf>
    <xf numFmtId="0" fontId="27" fillId="0" borderId="2" xfId="0" applyFont="1" applyBorder="1"/>
    <xf numFmtId="169" fontId="28" fillId="0" borderId="2" xfId="1" applyNumberFormat="1" applyFont="1" applyBorder="1"/>
    <xf numFmtId="169" fontId="28" fillId="0" borderId="3" xfId="1" applyNumberFormat="1" applyFont="1" applyBorder="1"/>
    <xf numFmtId="43" fontId="19" fillId="2" borderId="0" xfId="0" applyNumberFormat="1" applyFont="1" applyFill="1"/>
    <xf numFmtId="169" fontId="19" fillId="2" borderId="0" xfId="0" applyNumberFormat="1" applyFont="1" applyFill="1"/>
    <xf numFmtId="167" fontId="19" fillId="2" borderId="0" xfId="0" applyNumberFormat="1" applyFont="1" applyFill="1"/>
    <xf numFmtId="9" fontId="19" fillId="2" borderId="0" xfId="3" applyFont="1" applyFill="1"/>
    <xf numFmtId="43" fontId="7" fillId="0" borderId="0" xfId="1" applyFont="1"/>
    <xf numFmtId="0" fontId="3" fillId="6" borderId="0" xfId="0" applyFont="1" applyFill="1"/>
    <xf numFmtId="0" fontId="12" fillId="6" borderId="0" xfId="0" applyFont="1" applyFill="1"/>
    <xf numFmtId="0" fontId="26" fillId="6" borderId="0" xfId="0" applyFont="1" applyFill="1"/>
    <xf numFmtId="0" fontId="14" fillId="6" borderId="0" xfId="0" applyFont="1" applyFill="1"/>
    <xf numFmtId="168" fontId="14" fillId="6" borderId="0" xfId="3" applyNumberFormat="1" applyFont="1" applyFill="1"/>
    <xf numFmtId="168" fontId="22" fillId="6" borderId="0" xfId="3" applyNumberFormat="1" applyFont="1" applyFill="1"/>
    <xf numFmtId="0" fontId="12" fillId="6" borderId="0" xfId="0" quotePrefix="1" applyFont="1" applyFill="1"/>
    <xf numFmtId="167" fontId="3" fillId="0" borderId="0" xfId="1" applyNumberFormat="1" applyFont="1" applyAlignment="1">
      <alignment horizontal="left" indent="1"/>
    </xf>
    <xf numFmtId="0" fontId="5" fillId="0" borderId="0" xfId="0" applyFont="1" applyAlignment="1">
      <alignment horizontal="right"/>
    </xf>
    <xf numFmtId="0" fontId="30" fillId="0" borderId="9" xfId="0" applyFont="1" applyBorder="1" applyAlignment="1">
      <alignment horizontal="center" wrapText="1"/>
    </xf>
    <xf numFmtId="164" fontId="5" fillId="0" borderId="0" xfId="0" applyNumberFormat="1" applyFont="1"/>
    <xf numFmtId="166" fontId="5" fillId="0" borderId="0" xfId="0" applyNumberFormat="1" applyFont="1"/>
    <xf numFmtId="165" fontId="3" fillId="0" borderId="2" xfId="0" applyNumberFormat="1" applyFont="1" applyBorder="1"/>
    <xf numFmtId="0" fontId="30" fillId="0" borderId="3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167" fontId="3" fillId="0" borderId="2" xfId="0" applyNumberFormat="1" applyFont="1" applyBorder="1"/>
    <xf numFmtId="0" fontId="31" fillId="2" borderId="0" xfId="0" applyFont="1" applyFill="1"/>
    <xf numFmtId="0" fontId="32" fillId="2" borderId="0" xfId="5" applyFill="1"/>
    <xf numFmtId="0" fontId="12" fillId="0" borderId="0" xfId="0" quotePrefix="1" applyFont="1" applyAlignment="1">
      <alignment horizontal="left" vertical="top" wrapText="1"/>
    </xf>
    <xf numFmtId="0" fontId="33" fillId="0" borderId="0" xfId="6" applyFont="1" applyAlignment="1">
      <alignment vertical="center"/>
    </xf>
    <xf numFmtId="9" fontId="33" fillId="0" borderId="0" xfId="6" applyNumberFormat="1" applyFont="1" applyAlignment="1">
      <alignment vertical="center"/>
    </xf>
    <xf numFmtId="0" fontId="34" fillId="0" borderId="0" xfId="6" applyFont="1" applyAlignment="1">
      <alignment vertical="center"/>
    </xf>
    <xf numFmtId="0" fontId="35" fillId="0" borderId="0" xfId="6" applyFont="1" applyAlignment="1">
      <alignment vertical="center"/>
    </xf>
    <xf numFmtId="180" fontId="35" fillId="0" borderId="0" xfId="6" applyNumberFormat="1" applyFont="1" applyAlignment="1">
      <alignment vertical="center"/>
    </xf>
    <xf numFmtId="180" fontId="35" fillId="0" borderId="0" xfId="6" applyNumberFormat="1" applyFont="1" applyAlignment="1">
      <alignment horizontal="center" vertical="center"/>
    </xf>
    <xf numFmtId="181" fontId="33" fillId="0" borderId="0" xfId="6" applyNumberFormat="1" applyFont="1" applyAlignment="1">
      <alignment vertical="center"/>
    </xf>
    <xf numFmtId="9" fontId="35" fillId="0" borderId="0" xfId="6" applyNumberFormat="1" applyFont="1" applyAlignment="1">
      <alignment vertical="center"/>
    </xf>
    <xf numFmtId="0" fontId="33" fillId="5" borderId="0" xfId="6" applyFont="1" applyFill="1" applyAlignment="1">
      <alignment vertical="center"/>
    </xf>
    <xf numFmtId="0" fontId="36" fillId="5" borderId="0" xfId="6" applyFont="1" applyFill="1" applyAlignment="1">
      <alignment vertical="center"/>
    </xf>
    <xf numFmtId="0" fontId="37" fillId="0" borderId="0" xfId="6" applyFont="1" applyAlignment="1">
      <alignment vertical="center"/>
    </xf>
    <xf numFmtId="0" fontId="33" fillId="0" borderId="0" xfId="6" quotePrefix="1" applyFont="1" applyAlignment="1">
      <alignment horizontal="center" vertical="center"/>
    </xf>
    <xf numFmtId="0" fontId="33" fillId="0" borderId="0" xfId="6" applyFont="1" applyAlignment="1">
      <alignment horizontal="right" vertical="center"/>
    </xf>
    <xf numFmtId="0" fontId="33" fillId="0" borderId="0" xfId="6" applyFont="1" applyAlignment="1">
      <alignment horizontal="centerContinuous" vertical="center"/>
    </xf>
    <xf numFmtId="182" fontId="33" fillId="0" borderId="0" xfId="6" applyNumberFormat="1" applyFont="1" applyAlignment="1">
      <alignment vertical="center"/>
    </xf>
    <xf numFmtId="183" fontId="33" fillId="0" borderId="0" xfId="6" applyNumberFormat="1" applyFont="1" applyAlignment="1">
      <alignment vertical="center"/>
    </xf>
    <xf numFmtId="184" fontId="33" fillId="0" borderId="0" xfId="6" applyNumberFormat="1" applyFont="1" applyAlignment="1">
      <alignment vertical="center"/>
    </xf>
    <xf numFmtId="0" fontId="33" fillId="0" borderId="0" xfId="6" applyFont="1" applyAlignment="1">
      <alignment horizontal="left" vertical="center"/>
    </xf>
    <xf numFmtId="185" fontId="33" fillId="0" borderId="0" xfId="6" applyNumberFormat="1" applyFont="1" applyAlignment="1">
      <alignment vertical="center"/>
    </xf>
    <xf numFmtId="186" fontId="37" fillId="0" borderId="0" xfId="6" applyNumberFormat="1" applyFont="1" applyAlignment="1">
      <alignment vertical="center"/>
    </xf>
    <xf numFmtId="186" fontId="34" fillId="0" borderId="0" xfId="6" applyNumberFormat="1" applyFont="1" applyAlignment="1">
      <alignment vertical="center"/>
    </xf>
    <xf numFmtId="186" fontId="33" fillId="0" borderId="0" xfId="6" applyNumberFormat="1" applyFont="1" applyAlignment="1">
      <alignment vertical="center"/>
    </xf>
    <xf numFmtId="187" fontId="35" fillId="0" borderId="0" xfId="6" applyNumberFormat="1" applyFont="1" applyAlignment="1">
      <alignment vertical="center"/>
    </xf>
    <xf numFmtId="168" fontId="33" fillId="0" borderId="0" xfId="6" applyNumberFormat="1" applyFont="1" applyAlignment="1">
      <alignment vertical="center"/>
    </xf>
    <xf numFmtId="0" fontId="33" fillId="0" borderId="0" xfId="6" applyFont="1" applyAlignment="1">
      <alignment horizontal="right" vertical="top"/>
    </xf>
    <xf numFmtId="10" fontId="33" fillId="0" borderId="0" xfId="6" applyNumberFormat="1" applyFont="1" applyAlignment="1">
      <alignment vertical="center"/>
    </xf>
    <xf numFmtId="186" fontId="35" fillId="0" borderId="0" xfId="6" applyNumberFormat="1" applyFont="1" applyAlignment="1">
      <alignment vertical="center"/>
    </xf>
    <xf numFmtId="186" fontId="37" fillId="0" borderId="0" xfId="6" applyNumberFormat="1" applyFont="1" applyAlignment="1">
      <alignment horizontal="right" vertical="center"/>
    </xf>
    <xf numFmtId="186" fontId="37" fillId="0" borderId="0" xfId="6" applyNumberFormat="1" applyFont="1" applyAlignment="1">
      <alignment horizontal="center" vertical="center"/>
    </xf>
    <xf numFmtId="186" fontId="38" fillId="8" borderId="0" xfId="6" applyNumberFormat="1" applyFont="1" applyFill="1" applyAlignment="1">
      <alignment vertical="center"/>
    </xf>
    <xf numFmtId="9" fontId="34" fillId="0" borderId="0" xfId="6" applyNumberFormat="1" applyFont="1" applyAlignment="1">
      <alignment vertical="center"/>
    </xf>
    <xf numFmtId="186" fontId="34" fillId="0" borderId="9" xfId="6" applyNumberFormat="1" applyFont="1" applyBorder="1" applyAlignment="1">
      <alignment horizontal="right" vertical="center"/>
    </xf>
    <xf numFmtId="186" fontId="34" fillId="8" borderId="9" xfId="6" applyNumberFormat="1" applyFont="1" applyFill="1" applyBorder="1" applyAlignment="1">
      <alignment horizontal="right" vertical="center"/>
    </xf>
    <xf numFmtId="182" fontId="34" fillId="0" borderId="9" xfId="6" applyNumberFormat="1" applyFont="1" applyBorder="1" applyAlignment="1">
      <alignment horizontal="right" vertical="center"/>
    </xf>
    <xf numFmtId="181" fontId="34" fillId="0" borderId="9" xfId="6" applyNumberFormat="1" applyFont="1" applyBorder="1" applyAlignment="1">
      <alignment horizontal="right" vertical="center"/>
    </xf>
    <xf numFmtId="0" fontId="34" fillId="0" borderId="9" xfId="6" applyFont="1" applyBorder="1" applyAlignment="1">
      <alignment vertical="center"/>
    </xf>
    <xf numFmtId="186" fontId="33" fillId="8" borderId="0" xfId="6" applyNumberFormat="1" applyFont="1" applyFill="1" applyAlignment="1">
      <alignment horizontal="right" vertical="center"/>
    </xf>
    <xf numFmtId="188" fontId="37" fillId="0" borderId="0" xfId="6" applyNumberFormat="1" applyFont="1" applyAlignment="1">
      <alignment horizontal="center" vertical="center"/>
    </xf>
    <xf numFmtId="186" fontId="35" fillId="0" borderId="0" xfId="6" applyNumberFormat="1" applyFont="1" applyAlignment="1">
      <alignment horizontal="right" vertical="center"/>
    </xf>
    <xf numFmtId="186" fontId="33" fillId="0" borderId="0" xfId="6" applyNumberFormat="1" applyFont="1" applyAlignment="1">
      <alignment horizontal="right" vertical="center"/>
    </xf>
    <xf numFmtId="182" fontId="38" fillId="0" borderId="0" xfId="6" applyNumberFormat="1" applyFont="1" applyAlignment="1">
      <alignment vertical="center"/>
    </xf>
    <xf numFmtId="182" fontId="38" fillId="0" borderId="0" xfId="7" applyNumberFormat="1" applyFont="1" applyAlignment="1">
      <alignment vertical="center"/>
    </xf>
    <xf numFmtId="181" fontId="38" fillId="0" borderId="0" xfId="7" applyNumberFormat="1" applyFont="1" applyAlignment="1">
      <alignment vertical="center"/>
    </xf>
    <xf numFmtId="181" fontId="38" fillId="0" borderId="0" xfId="6" applyNumberFormat="1" applyFont="1" applyAlignment="1">
      <alignment vertical="center"/>
    </xf>
    <xf numFmtId="0" fontId="33" fillId="0" borderId="0" xfId="6" applyFont="1" applyAlignment="1">
      <alignment horizontal="center" vertical="center"/>
    </xf>
    <xf numFmtId="0" fontId="39" fillId="9" borderId="5" xfId="6" applyFont="1" applyFill="1" applyBorder="1" applyAlignment="1">
      <alignment horizontal="centerContinuous" vertical="center"/>
    </xf>
    <xf numFmtId="0" fontId="40" fillId="9" borderId="5" xfId="6" applyFont="1" applyFill="1" applyBorder="1" applyAlignment="1">
      <alignment horizontal="centerContinuous" vertical="center"/>
    </xf>
    <xf numFmtId="0" fontId="40" fillId="9" borderId="5" xfId="6" applyFont="1" applyFill="1" applyBorder="1" applyAlignment="1">
      <alignment vertical="center"/>
    </xf>
    <xf numFmtId="168" fontId="41" fillId="0" borderId="0" xfId="6" applyNumberFormat="1" applyFont="1" applyAlignment="1">
      <alignment vertical="center"/>
    </xf>
    <xf numFmtId="186" fontId="42" fillId="0" borderId="0" xfId="6" applyNumberFormat="1" applyFont="1" applyAlignment="1">
      <alignment horizontal="right" vertical="center"/>
    </xf>
    <xf numFmtId="185" fontId="43" fillId="0" borderId="0" xfId="6" applyNumberFormat="1" applyFont="1" applyAlignment="1">
      <alignment horizontal="right" vertical="center"/>
    </xf>
    <xf numFmtId="185" fontId="37" fillId="0" borderId="0" xfId="6" applyNumberFormat="1" applyFont="1" applyAlignment="1">
      <alignment horizontal="right" vertical="center"/>
    </xf>
    <xf numFmtId="185" fontId="37" fillId="0" borderId="0" xfId="6" applyNumberFormat="1" applyFont="1" applyAlignment="1">
      <alignment horizontal="center" vertical="center"/>
    </xf>
    <xf numFmtId="186" fontId="41" fillId="0" borderId="0" xfId="6" applyNumberFormat="1" applyFont="1" applyAlignment="1">
      <alignment vertical="center"/>
    </xf>
    <xf numFmtId="9" fontId="44" fillId="0" borderId="0" xfId="6" applyNumberFormat="1" applyFont="1" applyAlignment="1">
      <alignment horizontal="center" vertical="center"/>
    </xf>
    <xf numFmtId="185" fontId="34" fillId="8" borderId="9" xfId="6" applyNumberFormat="1" applyFont="1" applyFill="1" applyBorder="1" applyAlignment="1">
      <alignment horizontal="right" vertical="center"/>
    </xf>
    <xf numFmtId="182" fontId="45" fillId="0" borderId="9" xfId="6" applyNumberFormat="1" applyFont="1" applyBorder="1" applyAlignment="1">
      <alignment horizontal="right" vertical="center"/>
    </xf>
    <xf numFmtId="185" fontId="33" fillId="8" borderId="0" xfId="6" applyNumberFormat="1" applyFont="1" applyFill="1" applyAlignment="1">
      <alignment horizontal="right" vertical="center"/>
    </xf>
    <xf numFmtId="182" fontId="33" fillId="0" borderId="0" xfId="7" applyNumberFormat="1" applyFont="1" applyAlignment="1">
      <alignment vertical="center"/>
    </xf>
    <xf numFmtId="185" fontId="34" fillId="0" borderId="9" xfId="6" applyNumberFormat="1" applyFont="1" applyBorder="1" applyAlignment="1">
      <alignment horizontal="right" vertical="center"/>
    </xf>
    <xf numFmtId="9" fontId="46" fillId="0" borderId="0" xfId="6" applyNumberFormat="1" applyFont="1" applyAlignment="1">
      <alignment horizontal="center" vertical="center"/>
    </xf>
    <xf numFmtId="189" fontId="46" fillId="0" borderId="0" xfId="6" applyNumberFormat="1" applyFont="1" applyAlignment="1">
      <alignment horizontal="center" vertical="center"/>
    </xf>
    <xf numFmtId="182" fontId="44" fillId="0" borderId="0" xfId="6" applyNumberFormat="1" applyFont="1" applyAlignment="1">
      <alignment vertical="center"/>
    </xf>
    <xf numFmtId="182" fontId="44" fillId="0" borderId="0" xfId="7" applyNumberFormat="1" applyFont="1" applyAlignment="1">
      <alignment vertical="center"/>
    </xf>
    <xf numFmtId="9" fontId="38" fillId="0" borderId="0" xfId="6" applyNumberFormat="1" applyFont="1" applyAlignment="1">
      <alignment vertical="center"/>
    </xf>
    <xf numFmtId="0" fontId="36" fillId="0" borderId="0" xfId="6" quotePrefix="1" applyFont="1" applyAlignment="1">
      <alignment horizontal="center" vertical="center"/>
    </xf>
    <xf numFmtId="0" fontId="33" fillId="10" borderId="5" xfId="6" applyFont="1" applyFill="1" applyBorder="1" applyAlignment="1">
      <alignment horizontal="centerContinuous" vertical="center"/>
    </xf>
    <xf numFmtId="0" fontId="34" fillId="10" borderId="5" xfId="6" applyFont="1" applyFill="1" applyBorder="1" applyAlignment="1">
      <alignment horizontal="centerContinuous" vertical="center"/>
    </xf>
    <xf numFmtId="0" fontId="34" fillId="10" borderId="5" xfId="6" applyFont="1" applyFill="1" applyBorder="1" applyAlignment="1">
      <alignment vertical="center"/>
    </xf>
    <xf numFmtId="190" fontId="33" fillId="0" borderId="0" xfId="6" applyNumberFormat="1" applyFont="1" applyAlignment="1">
      <alignment vertical="center"/>
    </xf>
    <xf numFmtId="182" fontId="38" fillId="8" borderId="0" xfId="6" applyNumberFormat="1" applyFont="1" applyFill="1" applyAlignment="1">
      <alignment vertical="center"/>
    </xf>
    <xf numFmtId="191" fontId="33" fillId="0" borderId="0" xfId="6" applyNumberFormat="1" applyFont="1" applyAlignment="1">
      <alignment vertical="center"/>
    </xf>
    <xf numFmtId="192" fontId="33" fillId="0" borderId="0" xfId="6" applyNumberFormat="1" applyFont="1" applyAlignment="1">
      <alignment vertical="center"/>
    </xf>
    <xf numFmtId="9" fontId="33" fillId="0" borderId="0" xfId="6" applyNumberFormat="1" applyFont="1" applyAlignment="1">
      <alignment horizontal="right" vertical="center"/>
    </xf>
    <xf numFmtId="0" fontId="33" fillId="11" borderId="5" xfId="6" applyFont="1" applyFill="1" applyBorder="1" applyAlignment="1">
      <alignment horizontal="centerContinuous" vertical="center"/>
    </xf>
    <xf numFmtId="0" fontId="34" fillId="11" borderId="5" xfId="6" applyFont="1" applyFill="1" applyBorder="1" applyAlignment="1">
      <alignment horizontal="centerContinuous" vertical="center"/>
    </xf>
    <xf numFmtId="0" fontId="34" fillId="11" borderId="5" xfId="6" applyFont="1" applyFill="1" applyBorder="1" applyAlignment="1">
      <alignment vertical="center"/>
    </xf>
    <xf numFmtId="168" fontId="44" fillId="0" borderId="0" xfId="6" applyNumberFormat="1" applyFont="1" applyAlignment="1">
      <alignment horizontal="center" vertical="center"/>
    </xf>
    <xf numFmtId="185" fontId="35" fillId="0" borderId="0" xfId="6" applyNumberFormat="1" applyFont="1" applyAlignment="1">
      <alignment vertical="center"/>
    </xf>
    <xf numFmtId="193" fontId="33" fillId="0" borderId="0" xfId="6" applyNumberFormat="1" applyFont="1" applyAlignment="1">
      <alignment horizontal="right" vertical="center"/>
    </xf>
    <xf numFmtId="185" fontId="37" fillId="0" borderId="0" xfId="6" applyNumberFormat="1" applyFont="1" applyAlignment="1">
      <alignment vertical="center"/>
    </xf>
    <xf numFmtId="194" fontId="33" fillId="0" borderId="0" xfId="6" applyNumberFormat="1" applyFont="1" applyAlignment="1">
      <alignment vertical="center"/>
    </xf>
    <xf numFmtId="195" fontId="33" fillId="0" borderId="0" xfId="6" applyNumberFormat="1" applyFont="1" applyAlignment="1">
      <alignment vertical="center"/>
    </xf>
    <xf numFmtId="196" fontId="34" fillId="0" borderId="0" xfId="6" applyNumberFormat="1" applyFont="1" applyAlignment="1">
      <alignment vertical="center"/>
    </xf>
    <xf numFmtId="193" fontId="34" fillId="0" borderId="9" xfId="6" applyNumberFormat="1" applyFont="1" applyBorder="1" applyAlignment="1">
      <alignment horizontal="right" vertical="center"/>
    </xf>
    <xf numFmtId="186" fontId="42" fillId="8" borderId="0" xfId="6" applyNumberFormat="1" applyFont="1" applyFill="1" applyAlignment="1">
      <alignment horizontal="right" vertical="center"/>
    </xf>
    <xf numFmtId="0" fontId="33" fillId="12" borderId="5" xfId="6" applyFont="1" applyFill="1" applyBorder="1" applyAlignment="1">
      <alignment horizontal="centerContinuous" vertical="center"/>
    </xf>
    <xf numFmtId="0" fontId="34" fillId="12" borderId="5" xfId="6" applyFont="1" applyFill="1" applyBorder="1" applyAlignment="1">
      <alignment horizontal="centerContinuous" vertical="center"/>
    </xf>
    <xf numFmtId="0" fontId="34" fillId="12" borderId="5" xfId="6" applyFont="1" applyFill="1" applyBorder="1" applyAlignment="1">
      <alignment vertical="center"/>
    </xf>
    <xf numFmtId="194" fontId="35" fillId="0" borderId="0" xfId="6" applyNumberFormat="1" applyFont="1" applyAlignment="1">
      <alignment vertical="center"/>
    </xf>
    <xf numFmtId="192" fontId="35" fillId="0" borderId="0" xfId="6" applyNumberFormat="1" applyFont="1" applyAlignment="1">
      <alignment vertical="center"/>
    </xf>
    <xf numFmtId="181" fontId="38" fillId="8" borderId="0" xfId="6" applyNumberFormat="1" applyFont="1" applyFill="1" applyAlignment="1">
      <alignment vertical="center"/>
    </xf>
    <xf numFmtId="192" fontId="44" fillId="0" borderId="0" xfId="6" applyNumberFormat="1" applyFont="1" applyAlignment="1">
      <alignment horizontal="center" vertical="center"/>
    </xf>
    <xf numFmtId="186" fontId="34" fillId="0" borderId="0" xfId="6" applyNumberFormat="1" applyFont="1" applyAlignment="1">
      <alignment horizontal="right" vertical="center"/>
    </xf>
    <xf numFmtId="182" fontId="35" fillId="0" borderId="0" xfId="6" applyNumberFormat="1" applyFont="1" applyAlignment="1">
      <alignment vertical="center"/>
    </xf>
    <xf numFmtId="194" fontId="34" fillId="0" borderId="0" xfId="6" applyNumberFormat="1" applyFont="1" applyAlignment="1">
      <alignment vertical="center"/>
    </xf>
    <xf numFmtId="192" fontId="34" fillId="0" borderId="0" xfId="6" applyNumberFormat="1" applyFont="1" applyAlignment="1">
      <alignment vertical="center"/>
    </xf>
    <xf numFmtId="185" fontId="34" fillId="0" borderId="0" xfId="6" applyNumberFormat="1" applyFont="1" applyAlignment="1">
      <alignment vertical="center"/>
    </xf>
    <xf numFmtId="182" fontId="34" fillId="0" borderId="0" xfId="6" applyNumberFormat="1" applyFont="1" applyAlignment="1">
      <alignment vertical="center"/>
    </xf>
    <xf numFmtId="0" fontId="33" fillId="13" borderId="5" xfId="6" applyFont="1" applyFill="1" applyBorder="1" applyAlignment="1">
      <alignment horizontal="centerContinuous" vertical="center"/>
    </xf>
    <xf numFmtId="0" fontId="34" fillId="13" borderId="5" xfId="6" applyFont="1" applyFill="1" applyBorder="1" applyAlignment="1">
      <alignment horizontal="centerContinuous" vertical="center"/>
    </xf>
    <xf numFmtId="0" fontId="34" fillId="13" borderId="5" xfId="6" applyFont="1" applyFill="1" applyBorder="1" applyAlignment="1">
      <alignment vertical="center"/>
    </xf>
    <xf numFmtId="0" fontId="34" fillId="0" borderId="0" xfId="6" applyFont="1" applyAlignment="1">
      <alignment horizontal="right" vertical="center"/>
    </xf>
    <xf numFmtId="0" fontId="34" fillId="14" borderId="5" xfId="6" applyFont="1" applyFill="1" applyBorder="1" applyAlignment="1">
      <alignment horizontal="right" vertical="center"/>
    </xf>
    <xf numFmtId="0" fontId="33" fillId="14" borderId="5" xfId="6" applyFont="1" applyFill="1" applyBorder="1" applyAlignment="1">
      <alignment vertical="center"/>
    </xf>
    <xf numFmtId="0" fontId="34" fillId="14" borderId="5" xfId="6" applyFont="1" applyFill="1" applyBorder="1" applyAlignment="1">
      <alignment vertical="center"/>
    </xf>
    <xf numFmtId="0" fontId="34" fillId="0" borderId="0" xfId="6" applyFont="1" applyAlignment="1">
      <alignment horizontal="centerContinuous" vertical="center"/>
    </xf>
    <xf numFmtId="0" fontId="33" fillId="14" borderId="0" xfId="6" applyFont="1" applyFill="1" applyAlignment="1">
      <alignment horizontal="centerContinuous" vertical="center"/>
    </xf>
    <xf numFmtId="0" fontId="34" fillId="14" borderId="0" xfId="6" applyFont="1" applyFill="1" applyAlignment="1">
      <alignment horizontal="centerContinuous" vertical="center"/>
    </xf>
    <xf numFmtId="0" fontId="50" fillId="0" borderId="0" xfId="0" applyFont="1"/>
    <xf numFmtId="0" fontId="50" fillId="0" borderId="0" xfId="0" quotePrefix="1" applyFont="1"/>
    <xf numFmtId="0" fontId="51" fillId="0" borderId="0" xfId="0" applyFont="1"/>
    <xf numFmtId="168" fontId="52" fillId="0" borderId="0" xfId="3" applyNumberFormat="1" applyFont="1"/>
    <xf numFmtId="171" fontId="52" fillId="0" borderId="0" xfId="0" applyNumberFormat="1" applyFont="1"/>
    <xf numFmtId="0" fontId="3" fillId="0" borderId="0" xfId="1" applyNumberFormat="1" applyFont="1"/>
    <xf numFmtId="197" fontId="53" fillId="0" borderId="8" xfId="0" applyNumberFormat="1" applyFont="1" applyBorder="1" applyAlignment="1">
      <alignment horizontal="right"/>
    </xf>
    <xf numFmtId="165" fontId="54" fillId="0" borderId="0" xfId="0" applyNumberFormat="1" applyFont="1"/>
    <xf numFmtId="165" fontId="3" fillId="0" borderId="9" xfId="0" applyNumberFormat="1" applyFont="1" applyBorder="1"/>
    <xf numFmtId="0" fontId="54" fillId="2" borderId="0" xfId="0" applyFont="1" applyFill="1"/>
    <xf numFmtId="0" fontId="55" fillId="0" borderId="0" xfId="0" applyFont="1" applyAlignment="1">
      <alignment horizontal="center"/>
    </xf>
    <xf numFmtId="41" fontId="54" fillId="0" borderId="0" xfId="0" applyNumberFormat="1" applyFont="1"/>
    <xf numFmtId="167" fontId="54" fillId="0" borderId="0" xfId="1" applyNumberFormat="1" applyFont="1"/>
    <xf numFmtId="169" fontId="54" fillId="0" borderId="0" xfId="1" applyNumberFormat="1" applyFont="1"/>
    <xf numFmtId="9" fontId="54" fillId="0" borderId="0" xfId="0" applyNumberFormat="1" applyFont="1"/>
    <xf numFmtId="9" fontId="54" fillId="0" borderId="0" xfId="3" applyFont="1"/>
    <xf numFmtId="170" fontId="54" fillId="0" borderId="12" xfId="0" applyNumberFormat="1" applyFont="1" applyBorder="1"/>
    <xf numFmtId="168" fontId="54" fillId="0" borderId="0" xfId="3" applyNumberFormat="1" applyFont="1"/>
    <xf numFmtId="172" fontId="54" fillId="0" borderId="0" xfId="0" applyNumberFormat="1" applyFont="1"/>
    <xf numFmtId="0" fontId="55" fillId="5" borderId="0" xfId="0" applyFont="1" applyFill="1" applyAlignment="1">
      <alignment horizontal="center"/>
    </xf>
    <xf numFmtId="169" fontId="56" fillId="0" borderId="2" xfId="1" applyNumberFormat="1" applyFont="1" applyBorder="1"/>
    <xf numFmtId="198" fontId="54" fillId="0" borderId="0" xfId="0" applyNumberFormat="1" applyFont="1"/>
    <xf numFmtId="0" fontId="54" fillId="0" borderId="0" xfId="0" applyFont="1"/>
    <xf numFmtId="199" fontId="54" fillId="2" borderId="0" xfId="0" applyNumberFormat="1" applyFont="1" applyFill="1"/>
    <xf numFmtId="165" fontId="52" fillId="0" borderId="0" xfId="0" applyNumberFormat="1" applyFont="1"/>
    <xf numFmtId="167" fontId="52" fillId="0" borderId="0" xfId="1" applyNumberFormat="1" applyFont="1"/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indent="2"/>
    </xf>
    <xf numFmtId="0" fontId="29" fillId="0" borderId="0" xfId="0" quotePrefix="1" applyFont="1" applyAlignment="1">
      <alignment horizontal="left" vertical="top"/>
    </xf>
    <xf numFmtId="169" fontId="54" fillId="0" borderId="0" xfId="0" applyNumberFormat="1" applyFont="1"/>
    <xf numFmtId="43" fontId="3" fillId="0" borderId="0" xfId="1" applyFont="1"/>
    <xf numFmtId="0" fontId="14" fillId="0" borderId="0" xfId="11"/>
    <xf numFmtId="10" fontId="57" fillId="0" borderId="22" xfId="11" applyNumberFormat="1" applyFont="1" applyBorder="1" applyAlignment="1">
      <alignment horizontal="right"/>
    </xf>
    <xf numFmtId="14" fontId="57" fillId="0" borderId="22" xfId="11" applyNumberFormat="1" applyFont="1" applyBorder="1" applyAlignment="1">
      <alignment horizontal="right"/>
    </xf>
    <xf numFmtId="10" fontId="57" fillId="17" borderId="22" xfId="11" applyNumberFormat="1" applyFont="1" applyFill="1" applyBorder="1" applyAlignment="1">
      <alignment horizontal="right"/>
    </xf>
    <xf numFmtId="14" fontId="57" fillId="17" borderId="22" xfId="11" applyNumberFormat="1" applyFont="1" applyFill="1" applyBorder="1" applyAlignment="1">
      <alignment horizontal="right"/>
    </xf>
    <xf numFmtId="0" fontId="58" fillId="0" borderId="0" xfId="11" applyFont="1"/>
    <xf numFmtId="0" fontId="57" fillId="0" borderId="0" xfId="11" applyFont="1"/>
    <xf numFmtId="0" fontId="59" fillId="17" borderId="22" xfId="11" applyFont="1" applyFill="1" applyBorder="1" applyAlignment="1">
      <alignment horizontal="right"/>
    </xf>
    <xf numFmtId="0" fontId="60" fillId="0" borderId="0" xfId="11" applyFont="1"/>
    <xf numFmtId="10" fontId="14" fillId="0" borderId="0" xfId="3" applyNumberFormat="1" applyFont="1"/>
    <xf numFmtId="15" fontId="61" fillId="18" borderId="23" xfId="0" applyNumberFormat="1" applyFont="1" applyFill="1" applyBorder="1" applyAlignment="1">
      <alignment horizontal="center" vertical="center" wrapText="1"/>
    </xf>
    <xf numFmtId="10" fontId="62" fillId="18" borderId="23" xfId="0" applyNumberFormat="1" applyFont="1" applyFill="1" applyBorder="1" applyAlignment="1">
      <alignment horizontal="left" vertical="center" wrapText="1" indent="1"/>
    </xf>
    <xf numFmtId="0" fontId="62" fillId="18" borderId="23" xfId="0" applyFont="1" applyFill="1" applyBorder="1" applyAlignment="1">
      <alignment horizontal="left" vertical="center" wrapText="1" indent="1"/>
    </xf>
    <xf numFmtId="15" fontId="61" fillId="19" borderId="23" xfId="0" applyNumberFormat="1" applyFont="1" applyFill="1" applyBorder="1" applyAlignment="1">
      <alignment horizontal="center" vertical="center" wrapText="1"/>
    </xf>
    <xf numFmtId="10" fontId="62" fillId="19" borderId="23" xfId="0" applyNumberFormat="1" applyFont="1" applyFill="1" applyBorder="1" applyAlignment="1">
      <alignment horizontal="left" vertical="center" wrapText="1" indent="1"/>
    </xf>
    <xf numFmtId="0" fontId="62" fillId="19" borderId="23" xfId="0" applyFont="1" applyFill="1" applyBorder="1" applyAlignment="1">
      <alignment horizontal="left" vertical="center" wrapText="1" indent="1"/>
    </xf>
    <xf numFmtId="15" fontId="61" fillId="19" borderId="24" xfId="0" applyNumberFormat="1" applyFont="1" applyFill="1" applyBorder="1" applyAlignment="1">
      <alignment horizontal="center" vertical="center" wrapText="1"/>
    </xf>
    <xf numFmtId="10" fontId="62" fillId="19" borderId="24" xfId="0" applyNumberFormat="1" applyFont="1" applyFill="1" applyBorder="1" applyAlignment="1">
      <alignment horizontal="left" vertical="center" wrapText="1" indent="1"/>
    </xf>
    <xf numFmtId="0" fontId="0" fillId="0" borderId="24" xfId="0" applyBorder="1"/>
    <xf numFmtId="10" fontId="63" fillId="7" borderId="0" xfId="3" applyNumberFormat="1" applyFont="1" applyFill="1"/>
    <xf numFmtId="168" fontId="48" fillId="0" borderId="0" xfId="3" applyNumberFormat="1" applyFont="1"/>
    <xf numFmtId="168" fontId="54" fillId="0" borderId="0" xfId="0" applyNumberFormat="1" applyFont="1"/>
    <xf numFmtId="14" fontId="50" fillId="0" borderId="0" xfId="0" applyNumberFormat="1" applyFont="1"/>
    <xf numFmtId="0" fontId="64" fillId="3" borderId="0" xfId="0" applyFont="1" applyFill="1"/>
    <xf numFmtId="169" fontId="50" fillId="0" borderId="0" xfId="0" applyNumberFormat="1" applyFont="1"/>
    <xf numFmtId="0" fontId="50" fillId="0" borderId="9" xfId="0" applyFont="1" applyBorder="1"/>
    <xf numFmtId="169" fontId="50" fillId="0" borderId="9" xfId="0" applyNumberFormat="1" applyFont="1" applyBorder="1"/>
    <xf numFmtId="0" fontId="50" fillId="0" borderId="0" xfId="0" applyFont="1" applyAlignment="1">
      <alignment horizontal="left" indent="1"/>
    </xf>
    <xf numFmtId="168" fontId="50" fillId="0" borderId="0" xfId="3" applyNumberFormat="1" applyFont="1"/>
    <xf numFmtId="43" fontId="50" fillId="0" borderId="0" xfId="0" applyNumberFormat="1" applyFont="1"/>
    <xf numFmtId="168" fontId="50" fillId="0" borderId="0" xfId="0" applyNumberFormat="1" applyFont="1"/>
    <xf numFmtId="168" fontId="65" fillId="7" borderId="0" xfId="0" applyNumberFormat="1" applyFont="1" applyFill="1"/>
    <xf numFmtId="43" fontId="50" fillId="0" borderId="9" xfId="0" applyNumberFormat="1" applyFont="1" applyBorder="1"/>
    <xf numFmtId="10" fontId="50" fillId="0" borderId="0" xfId="0" applyNumberFormat="1" applyFont="1"/>
    <xf numFmtId="168" fontId="65" fillId="7" borderId="25" xfId="0" applyNumberFormat="1" applyFont="1" applyFill="1" applyBorder="1"/>
    <xf numFmtId="0" fontId="50" fillId="0" borderId="0" xfId="0" applyFont="1" applyAlignment="1">
      <alignment horizontal="left" indent="2"/>
    </xf>
    <xf numFmtId="14" fontId="65" fillId="0" borderId="0" xfId="0" applyNumberFormat="1" applyFont="1"/>
    <xf numFmtId="0" fontId="65" fillId="0" borderId="0" xfId="0" applyFont="1"/>
    <xf numFmtId="169" fontId="65" fillId="0" borderId="0" xfId="0" applyNumberFormat="1" applyFont="1"/>
    <xf numFmtId="0" fontId="66" fillId="7" borderId="0" xfId="0" applyFont="1" applyFill="1"/>
    <xf numFmtId="168" fontId="66" fillId="7" borderId="0" xfId="0" applyNumberFormat="1" applyFont="1" applyFill="1"/>
    <xf numFmtId="0" fontId="50" fillId="0" borderId="9" xfId="0" applyFont="1" applyBorder="1" applyAlignment="1">
      <alignment horizontal="left" indent="1"/>
    </xf>
    <xf numFmtId="0" fontId="50" fillId="0" borderId="0" xfId="0" applyFont="1" applyAlignment="1">
      <alignment horizontal="left" indent="3"/>
    </xf>
    <xf numFmtId="0" fontId="51" fillId="0" borderId="0" xfId="0" applyFont="1" applyAlignment="1">
      <alignment horizontal="left" indent="1"/>
    </xf>
    <xf numFmtId="9" fontId="66" fillId="7" borderId="0" xfId="3" applyFont="1" applyFill="1"/>
    <xf numFmtId="0" fontId="50" fillId="0" borderId="13" xfId="0" applyFont="1" applyBorder="1" applyAlignment="1">
      <alignment horizontal="left" indent="1"/>
    </xf>
    <xf numFmtId="169" fontId="50" fillId="0" borderId="10" xfId="0" applyNumberFormat="1" applyFont="1" applyBorder="1"/>
    <xf numFmtId="0" fontId="50" fillId="0" borderId="15" xfId="0" applyFont="1" applyBorder="1" applyAlignment="1">
      <alignment horizontal="left" indent="2"/>
    </xf>
    <xf numFmtId="0" fontId="50" fillId="0" borderId="5" xfId="0" applyFont="1" applyBorder="1"/>
    <xf numFmtId="168" fontId="50" fillId="0" borderId="5" xfId="3" applyNumberFormat="1" applyFont="1" applyBorder="1"/>
    <xf numFmtId="168" fontId="50" fillId="0" borderId="11" xfId="3" applyNumberFormat="1" applyFont="1" applyBorder="1"/>
    <xf numFmtId="43" fontId="50" fillId="0" borderId="10" xfId="0" applyNumberFormat="1" applyFont="1" applyBorder="1"/>
    <xf numFmtId="168" fontId="50" fillId="0" borderId="5" xfId="0" applyNumberFormat="1" applyFont="1" applyBorder="1"/>
    <xf numFmtId="168" fontId="50" fillId="0" borderId="11" xfId="0" applyNumberFormat="1" applyFont="1" applyBorder="1"/>
    <xf numFmtId="0" fontId="50" fillId="0" borderId="15" xfId="0" applyFont="1" applyBorder="1" applyAlignment="1">
      <alignment horizontal="left" indent="1"/>
    </xf>
    <xf numFmtId="0" fontId="50" fillId="0" borderId="13" xfId="0" applyFont="1" applyBorder="1"/>
    <xf numFmtId="0" fontId="50" fillId="0" borderId="15" xfId="0" applyFont="1" applyBorder="1"/>
    <xf numFmtId="0" fontId="67" fillId="0" borderId="0" xfId="6" applyFont="1" applyAlignment="1">
      <alignment vertical="center"/>
    </xf>
    <xf numFmtId="0" fontId="68" fillId="0" borderId="0" xfId="8" applyFont="1" applyAlignment="1">
      <alignment vertical="center"/>
    </xf>
    <xf numFmtId="0" fontId="68" fillId="16" borderId="0" xfId="8" applyFont="1" applyFill="1" applyAlignment="1">
      <alignment vertical="center"/>
    </xf>
    <xf numFmtId="0" fontId="68" fillId="16" borderId="4" xfId="8" applyFont="1" applyFill="1" applyBorder="1" applyAlignment="1">
      <alignment vertical="center"/>
    </xf>
    <xf numFmtId="0" fontId="68" fillId="0" borderId="4" xfId="8" applyFont="1" applyBorder="1" applyAlignment="1">
      <alignment vertical="center"/>
    </xf>
    <xf numFmtId="0" fontId="68" fillId="0" borderId="0" xfId="6" applyFont="1" applyAlignment="1">
      <alignment vertical="center"/>
    </xf>
    <xf numFmtId="0" fontId="67" fillId="0" borderId="5" xfId="8" applyFont="1" applyBorder="1" applyAlignment="1">
      <alignment vertical="center"/>
    </xf>
    <xf numFmtId="0" fontId="68" fillId="0" borderId="5" xfId="8" applyFont="1" applyBorder="1" applyAlignment="1">
      <alignment vertical="center"/>
    </xf>
    <xf numFmtId="0" fontId="68" fillId="16" borderId="5" xfId="8" applyFont="1" applyFill="1" applyBorder="1" applyAlignment="1">
      <alignment vertical="center"/>
    </xf>
    <xf numFmtId="0" fontId="68" fillId="16" borderId="11" xfId="8" applyFont="1" applyFill="1" applyBorder="1" applyAlignment="1">
      <alignment vertical="center"/>
    </xf>
    <xf numFmtId="0" fontId="68" fillId="0" borderId="11" xfId="8" applyFont="1" applyBorder="1" applyAlignment="1">
      <alignment vertical="center"/>
    </xf>
    <xf numFmtId="0" fontId="67" fillId="16" borderId="5" xfId="8" applyFont="1" applyFill="1" applyBorder="1" applyAlignment="1">
      <alignment horizontal="right" vertical="center"/>
    </xf>
    <xf numFmtId="0" fontId="67" fillId="0" borderId="11" xfId="8" applyFont="1" applyBorder="1" applyAlignment="1">
      <alignment horizontal="right" vertical="center"/>
    </xf>
    <xf numFmtId="0" fontId="65" fillId="0" borderId="0" xfId="8" quotePrefix="1" applyFont="1" applyAlignment="1">
      <alignment vertical="center"/>
    </xf>
    <xf numFmtId="0" fontId="69" fillId="0" borderId="0" xfId="8" applyFont="1" applyAlignment="1">
      <alignment vertical="center"/>
    </xf>
    <xf numFmtId="0" fontId="64" fillId="0" borderId="0" xfId="8" applyFont="1" applyAlignment="1">
      <alignment vertical="center"/>
    </xf>
    <xf numFmtId="0" fontId="70" fillId="0" borderId="0" xfId="8" applyFont="1" applyAlignment="1">
      <alignment horizontal="centerContinuous" vertical="center"/>
    </xf>
    <xf numFmtId="0" fontId="71" fillId="0" borderId="0" xfId="8" applyFont="1" applyAlignment="1">
      <alignment vertical="center"/>
    </xf>
    <xf numFmtId="0" fontId="71" fillId="0" borderId="0" xfId="8" applyFont="1" applyAlignment="1">
      <alignment horizontal="centerContinuous" vertical="center"/>
    </xf>
    <xf numFmtId="0" fontId="71" fillId="16" borderId="0" xfId="8" applyFont="1" applyFill="1" applyAlignment="1">
      <alignment horizontal="right" vertical="center"/>
    </xf>
    <xf numFmtId="0" fontId="71" fillId="16" borderId="4" xfId="8" applyFont="1" applyFill="1" applyBorder="1" applyAlignment="1">
      <alignment horizontal="right" vertical="center"/>
    </xf>
    <xf numFmtId="0" fontId="71" fillId="0" borderId="19" xfId="8" applyFont="1" applyBorder="1" applyAlignment="1">
      <alignment horizontal="right" vertical="center"/>
    </xf>
    <xf numFmtId="0" fontId="71" fillId="0" borderId="0" xfId="8" applyFont="1" applyAlignment="1">
      <alignment horizontal="right" vertical="center"/>
    </xf>
    <xf numFmtId="0" fontId="71" fillId="0" borderId="16" xfId="8" applyFont="1" applyBorder="1" applyAlignment="1">
      <alignment horizontal="right" vertical="center"/>
    </xf>
    <xf numFmtId="0" fontId="72" fillId="0" borderId="5" xfId="8" applyFont="1" applyBorder="1" applyAlignment="1">
      <alignment vertical="center"/>
    </xf>
    <xf numFmtId="0" fontId="64" fillId="0" borderId="5" xfId="8" applyFont="1" applyBorder="1" applyAlignment="1">
      <alignment vertical="center"/>
    </xf>
    <xf numFmtId="200" fontId="73" fillId="0" borderId="5" xfId="8" applyNumberFormat="1" applyFont="1" applyBorder="1" applyAlignment="1">
      <alignment horizontal="right" vertical="center"/>
    </xf>
    <xf numFmtId="200" fontId="71" fillId="0" borderId="5" xfId="8" applyNumberFormat="1" applyFont="1" applyBorder="1" applyAlignment="1">
      <alignment horizontal="right" vertical="center"/>
    </xf>
    <xf numFmtId="200" fontId="71" fillId="16" borderId="5" xfId="8" applyNumberFormat="1" applyFont="1" applyFill="1" applyBorder="1" applyAlignment="1">
      <alignment horizontal="right" vertical="center"/>
    </xf>
    <xf numFmtId="200" fontId="73" fillId="16" borderId="5" xfId="8" applyNumberFormat="1" applyFont="1" applyFill="1" applyBorder="1" applyAlignment="1">
      <alignment horizontal="right" vertical="center"/>
    </xf>
    <xf numFmtId="200" fontId="71" fillId="0" borderId="20" xfId="8" applyNumberFormat="1" applyFont="1" applyBorder="1" applyAlignment="1">
      <alignment horizontal="right" vertical="center"/>
    </xf>
    <xf numFmtId="201" fontId="71" fillId="0" borderId="5" xfId="8" applyNumberFormat="1" applyFont="1" applyBorder="1" applyAlignment="1">
      <alignment horizontal="right" vertical="center"/>
    </xf>
    <xf numFmtId="201" fontId="71" fillId="0" borderId="18" xfId="8" applyNumberFormat="1" applyFont="1" applyBorder="1" applyAlignment="1">
      <alignment horizontal="right" vertical="center"/>
    </xf>
    <xf numFmtId="0" fontId="72" fillId="0" borderId="0" xfId="8" applyFont="1" applyAlignment="1">
      <alignment vertical="center"/>
    </xf>
    <xf numFmtId="202" fontId="71" fillId="0" borderId="0" xfId="8" applyNumberFormat="1" applyFont="1" applyAlignment="1">
      <alignment horizontal="right" vertical="center"/>
    </xf>
    <xf numFmtId="202" fontId="71" fillId="16" borderId="0" xfId="8" applyNumberFormat="1" applyFont="1" applyFill="1" applyAlignment="1">
      <alignment horizontal="right" vertical="center"/>
    </xf>
    <xf numFmtId="202" fontId="71" fillId="16" borderId="4" xfId="8" applyNumberFormat="1" applyFont="1" applyFill="1" applyBorder="1" applyAlignment="1">
      <alignment horizontal="right" vertical="center"/>
    </xf>
    <xf numFmtId="203" fontId="71" fillId="0" borderId="10" xfId="8" applyNumberFormat="1" applyFont="1" applyBorder="1" applyAlignment="1">
      <alignment horizontal="right" vertical="center"/>
    </xf>
    <xf numFmtId="204" fontId="71" fillId="16" borderId="0" xfId="8" applyNumberFormat="1" applyFont="1" applyFill="1" applyAlignment="1">
      <alignment horizontal="right" vertical="center"/>
    </xf>
    <xf numFmtId="203" fontId="71" fillId="0" borderId="4" xfId="8" applyNumberFormat="1" applyFont="1" applyBorder="1" applyAlignment="1">
      <alignment horizontal="right" vertical="center"/>
    </xf>
    <xf numFmtId="0" fontId="65" fillId="0" borderId="0" xfId="8" applyFont="1" applyAlignment="1">
      <alignment vertical="center"/>
    </xf>
    <xf numFmtId="0" fontId="68" fillId="0" borderId="0" xfId="8" applyFont="1" applyAlignment="1">
      <alignment horizontal="center" vertical="center"/>
    </xf>
    <xf numFmtId="0" fontId="69" fillId="3" borderId="0" xfId="8" applyFont="1" applyFill="1" applyAlignment="1">
      <alignment vertical="center"/>
    </xf>
    <xf numFmtId="0" fontId="64" fillId="3" borderId="0" xfId="8" applyFont="1" applyFill="1" applyAlignment="1">
      <alignment vertical="center"/>
    </xf>
    <xf numFmtId="0" fontId="69" fillId="3" borderId="4" xfId="8" applyFont="1" applyFill="1" applyBorder="1" applyAlignment="1">
      <alignment vertical="center"/>
    </xf>
    <xf numFmtId="203" fontId="71" fillId="0" borderId="0" xfId="8" applyNumberFormat="1" applyFont="1" applyAlignment="1">
      <alignment vertical="center"/>
    </xf>
    <xf numFmtId="203" fontId="71" fillId="16" borderId="0" xfId="8" applyNumberFormat="1" applyFont="1" applyFill="1" applyAlignment="1">
      <alignment vertical="center"/>
    </xf>
    <xf numFmtId="203" fontId="71" fillId="16" borderId="4" xfId="8" applyNumberFormat="1" applyFont="1" applyFill="1" applyBorder="1" applyAlignment="1">
      <alignment vertical="center"/>
    </xf>
    <xf numFmtId="203" fontId="71" fillId="0" borderId="19" xfId="8" applyNumberFormat="1" applyFont="1" applyBorder="1" applyAlignment="1">
      <alignment vertical="center"/>
    </xf>
    <xf numFmtId="203" fontId="71" fillId="0" borderId="4" xfId="8" applyNumberFormat="1" applyFont="1" applyBorder="1" applyAlignment="1">
      <alignment vertical="center"/>
    </xf>
    <xf numFmtId="0" fontId="50" fillId="0" borderId="0" xfId="8" applyFont="1" applyAlignment="1">
      <alignment horizontal="left" vertical="center" indent="1"/>
    </xf>
    <xf numFmtId="205" fontId="65" fillId="0" borderId="0" xfId="8" applyNumberFormat="1" applyFont="1" applyAlignment="1">
      <alignment vertical="center"/>
    </xf>
    <xf numFmtId="205" fontId="65" fillId="16" borderId="0" xfId="8" applyNumberFormat="1" applyFont="1" applyFill="1" applyAlignment="1">
      <alignment vertical="center"/>
    </xf>
    <xf numFmtId="205" fontId="65" fillId="16" borderId="4" xfId="8" applyNumberFormat="1" applyFont="1" applyFill="1" applyBorder="1" applyAlignment="1">
      <alignment vertical="center"/>
    </xf>
    <xf numFmtId="205" fontId="65" fillId="0" borderId="19" xfId="8" applyNumberFormat="1" applyFont="1" applyBorder="1" applyAlignment="1">
      <alignment vertical="center"/>
    </xf>
    <xf numFmtId="205" fontId="50" fillId="16" borderId="0" xfId="8" applyNumberFormat="1" applyFont="1" applyFill="1" applyAlignment="1">
      <alignment vertical="center"/>
    </xf>
    <xf numFmtId="205" fontId="50" fillId="0" borderId="19" xfId="8" applyNumberFormat="1" applyFont="1" applyBorder="1" applyAlignment="1">
      <alignment vertical="center"/>
    </xf>
    <xf numFmtId="205" fontId="50" fillId="0" borderId="0" xfId="8" applyNumberFormat="1" applyFont="1" applyAlignment="1">
      <alignment vertical="center"/>
    </xf>
    <xf numFmtId="205" fontId="50" fillId="0" borderId="16" xfId="8" applyNumberFormat="1" applyFont="1" applyBorder="1" applyAlignment="1">
      <alignment vertical="center"/>
    </xf>
    <xf numFmtId="0" fontId="50" fillId="0" borderId="0" xfId="8" applyFont="1" applyAlignment="1">
      <alignment vertical="center"/>
    </xf>
    <xf numFmtId="206" fontId="72" fillId="0" borderId="0" xfId="8" applyNumberFormat="1" applyFont="1" applyAlignment="1">
      <alignment horizontal="left" vertical="center" indent="1"/>
    </xf>
    <xf numFmtId="207" fontId="72" fillId="0" borderId="0" xfId="8" quotePrefix="1" applyNumberFormat="1" applyFont="1" applyAlignment="1">
      <alignment horizontal="right" vertical="center"/>
    </xf>
    <xf numFmtId="207" fontId="72" fillId="0" borderId="0" xfId="8" applyNumberFormat="1" applyFont="1" applyAlignment="1">
      <alignment vertical="center"/>
    </xf>
    <xf numFmtId="207" fontId="74" fillId="16" borderId="0" xfId="8" applyNumberFormat="1" applyFont="1" applyFill="1" applyAlignment="1">
      <alignment vertical="center"/>
    </xf>
    <xf numFmtId="207" fontId="74" fillId="16" borderId="4" xfId="8" applyNumberFormat="1" applyFont="1" applyFill="1" applyBorder="1" applyAlignment="1">
      <alignment vertical="center"/>
    </xf>
    <xf numFmtId="207" fontId="72" fillId="0" borderId="19" xfId="8" applyNumberFormat="1" applyFont="1" applyBorder="1" applyAlignment="1">
      <alignment vertical="center"/>
    </xf>
    <xf numFmtId="207" fontId="75" fillId="0" borderId="19" xfId="8" applyNumberFormat="1" applyFont="1" applyBorder="1" applyAlignment="1">
      <alignment vertical="center"/>
    </xf>
    <xf numFmtId="168" fontId="75" fillId="7" borderId="0" xfId="8" applyNumberFormat="1" applyFont="1" applyFill="1" applyAlignment="1">
      <alignment vertical="center"/>
    </xf>
    <xf numFmtId="0" fontId="50" fillId="0" borderId="0" xfId="8" applyFont="1" applyAlignment="1">
      <alignment horizontal="left" vertical="center" indent="2"/>
    </xf>
    <xf numFmtId="208" fontId="65" fillId="0" borderId="0" xfId="8" applyNumberFormat="1" applyFont="1" applyAlignment="1">
      <alignment vertical="center"/>
    </xf>
    <xf numFmtId="208" fontId="50" fillId="0" borderId="0" xfId="8" applyNumberFormat="1" applyFont="1" applyAlignment="1">
      <alignment vertical="center"/>
    </xf>
    <xf numFmtId="208" fontId="50" fillId="16" borderId="0" xfId="8" applyNumberFormat="1" applyFont="1" applyFill="1" applyAlignment="1">
      <alignment vertical="center"/>
    </xf>
    <xf numFmtId="208" fontId="50" fillId="16" borderId="4" xfId="8" applyNumberFormat="1" applyFont="1" applyFill="1" applyBorder="1" applyAlignment="1">
      <alignment vertical="center"/>
    </xf>
    <xf numFmtId="208" fontId="50" fillId="0" borderId="19" xfId="8" applyNumberFormat="1" applyFont="1" applyBorder="1" applyAlignment="1">
      <alignment vertical="center"/>
    </xf>
    <xf numFmtId="207" fontId="74" fillId="16" borderId="16" xfId="8" applyNumberFormat="1" applyFont="1" applyFill="1" applyBorder="1" applyAlignment="1">
      <alignment vertical="center"/>
    </xf>
    <xf numFmtId="206" fontId="76" fillId="0" borderId="0" xfId="8" applyNumberFormat="1" applyFont="1" applyAlignment="1">
      <alignment horizontal="left" vertical="center" indent="3"/>
    </xf>
    <xf numFmtId="207" fontId="72" fillId="0" borderId="0" xfId="8" applyNumberFormat="1" applyFont="1" applyAlignment="1">
      <alignment horizontal="right" vertical="center"/>
    </xf>
    <xf numFmtId="207" fontId="74" fillId="0" borderId="0" xfId="8" applyNumberFormat="1" applyFont="1" applyAlignment="1">
      <alignment vertical="center"/>
    </xf>
    <xf numFmtId="207" fontId="74" fillId="0" borderId="19" xfId="8" applyNumberFormat="1" applyFont="1" applyBorder="1" applyAlignment="1">
      <alignment vertical="center"/>
    </xf>
    <xf numFmtId="168" fontId="75" fillId="7" borderId="0" xfId="3" applyNumberFormat="1" applyFont="1" applyFill="1" applyAlignment="1">
      <alignment vertical="center"/>
    </xf>
    <xf numFmtId="207" fontId="75" fillId="16" borderId="0" xfId="8" applyNumberFormat="1" applyFont="1" applyFill="1" applyAlignment="1">
      <alignment vertical="center"/>
    </xf>
    <xf numFmtId="206" fontId="76" fillId="0" borderId="0" xfId="8" applyNumberFormat="1" applyFont="1" applyAlignment="1">
      <alignment vertical="center"/>
    </xf>
    <xf numFmtId="206" fontId="76" fillId="0" borderId="0" xfId="8" applyNumberFormat="1" applyFont="1" applyAlignment="1">
      <alignment horizontal="left" vertical="center" indent="2"/>
    </xf>
    <xf numFmtId="206" fontId="77" fillId="0" borderId="0" xfId="8" applyNumberFormat="1" applyFont="1" applyAlignment="1">
      <alignment vertical="center"/>
    </xf>
    <xf numFmtId="0" fontId="71" fillId="2" borderId="0" xfId="8" applyFont="1" applyFill="1" applyAlignment="1">
      <alignment vertical="center"/>
    </xf>
    <xf numFmtId="209" fontId="71" fillId="2" borderId="0" xfId="8" applyNumberFormat="1" applyFont="1" applyFill="1" applyAlignment="1">
      <alignment vertical="center"/>
    </xf>
    <xf numFmtId="209" fontId="71" fillId="2" borderId="4" xfId="8" applyNumberFormat="1" applyFont="1" applyFill="1" applyBorder="1" applyAlignment="1">
      <alignment vertical="center"/>
    </xf>
    <xf numFmtId="209" fontId="71" fillId="2" borderId="19" xfId="8" applyNumberFormat="1" applyFont="1" applyFill="1" applyBorder="1" applyAlignment="1">
      <alignment vertical="center"/>
    </xf>
    <xf numFmtId="209" fontId="71" fillId="2" borderId="16" xfId="8" applyNumberFormat="1" applyFont="1" applyFill="1" applyBorder="1" applyAlignment="1">
      <alignment vertical="center"/>
    </xf>
    <xf numFmtId="206" fontId="76" fillId="0" borderId="0" xfId="8" applyNumberFormat="1" applyFont="1" applyAlignment="1">
      <alignment horizontal="left" vertical="center"/>
    </xf>
    <xf numFmtId="206" fontId="72" fillId="0" borderId="0" xfId="8" applyNumberFormat="1" applyFont="1" applyAlignment="1">
      <alignment vertical="center"/>
    </xf>
    <xf numFmtId="206" fontId="72" fillId="0" borderId="19" xfId="8" applyNumberFormat="1" applyFont="1" applyBorder="1" applyAlignment="1">
      <alignment vertical="center"/>
    </xf>
    <xf numFmtId="206" fontId="72" fillId="0" borderId="16" xfId="8" applyNumberFormat="1" applyFont="1" applyBorder="1" applyAlignment="1">
      <alignment vertical="center"/>
    </xf>
    <xf numFmtId="210" fontId="65" fillId="15" borderId="12" xfId="8" applyNumberFormat="1" applyFont="1" applyFill="1" applyBorder="1" applyAlignment="1">
      <alignment horizontal="centerContinuous" vertical="center"/>
    </xf>
    <xf numFmtId="207" fontId="74" fillId="8" borderId="0" xfId="8" applyNumberFormat="1" applyFont="1" applyFill="1" applyAlignment="1">
      <alignment vertical="center"/>
    </xf>
    <xf numFmtId="211" fontId="68" fillId="8" borderId="19" xfId="10" applyNumberFormat="1" applyFont="1" applyFill="1" applyBorder="1" applyAlignment="1">
      <alignment vertical="center"/>
    </xf>
    <xf numFmtId="205" fontId="50" fillId="8" borderId="19" xfId="8" applyNumberFormat="1" applyFont="1" applyFill="1" applyBorder="1" applyAlignment="1">
      <alignment vertical="center"/>
    </xf>
    <xf numFmtId="205" fontId="50" fillId="8" borderId="0" xfId="8" applyNumberFormat="1" applyFont="1" applyFill="1" applyAlignment="1">
      <alignment vertical="center"/>
    </xf>
    <xf numFmtId="205" fontId="50" fillId="8" borderId="16" xfId="8" applyNumberFormat="1" applyFont="1" applyFill="1" applyBorder="1" applyAlignment="1">
      <alignment vertical="center"/>
    </xf>
    <xf numFmtId="207" fontId="74" fillId="0" borderId="16" xfId="8" applyNumberFormat="1" applyFont="1" applyBorder="1" applyAlignment="1">
      <alignment vertical="center"/>
    </xf>
    <xf numFmtId="209" fontId="72" fillId="0" borderId="0" xfId="8" applyNumberFormat="1" applyFont="1" applyAlignment="1">
      <alignment vertical="center"/>
    </xf>
    <xf numFmtId="209" fontId="72" fillId="16" borderId="0" xfId="8" applyNumberFormat="1" applyFont="1" applyFill="1" applyAlignment="1">
      <alignment vertical="center"/>
    </xf>
    <xf numFmtId="209" fontId="72" fillId="16" borderId="4" xfId="8" applyNumberFormat="1" applyFont="1" applyFill="1" applyBorder="1" applyAlignment="1">
      <alignment vertical="center"/>
    </xf>
    <xf numFmtId="209" fontId="72" fillId="0" borderId="19" xfId="8" applyNumberFormat="1" applyFont="1" applyBorder="1" applyAlignment="1">
      <alignment vertical="center"/>
    </xf>
    <xf numFmtId="209" fontId="72" fillId="0" borderId="16" xfId="8" applyNumberFormat="1" applyFont="1" applyBorder="1" applyAlignment="1">
      <alignment vertical="center"/>
    </xf>
    <xf numFmtId="0" fontId="76" fillId="0" borderId="0" xfId="8" applyFont="1" applyAlignment="1">
      <alignment vertical="center"/>
    </xf>
    <xf numFmtId="0" fontId="69" fillId="16" borderId="0" xfId="8" applyFont="1" applyFill="1" applyAlignment="1">
      <alignment vertical="center"/>
    </xf>
    <xf numFmtId="0" fontId="69" fillId="16" borderId="4" xfId="8" applyFont="1" applyFill="1" applyBorder="1" applyAlignment="1">
      <alignment vertical="center"/>
    </xf>
    <xf numFmtId="0" fontId="69" fillId="0" borderId="19" xfId="8" applyFont="1" applyBorder="1" applyAlignment="1">
      <alignment vertical="center"/>
    </xf>
    <xf numFmtId="0" fontId="69" fillId="0" borderId="16" xfId="8" applyFont="1" applyBorder="1" applyAlignment="1">
      <alignment vertical="center"/>
    </xf>
    <xf numFmtId="206" fontId="76" fillId="0" borderId="0" xfId="8" applyNumberFormat="1" applyFont="1" applyAlignment="1">
      <alignment horizontal="left" vertical="center" indent="1"/>
    </xf>
    <xf numFmtId="206" fontId="72" fillId="16" borderId="0" xfId="8" applyNumberFormat="1" applyFont="1" applyFill="1" applyAlignment="1">
      <alignment vertical="center"/>
    </xf>
    <xf numFmtId="206" fontId="72" fillId="16" borderId="4" xfId="8" applyNumberFormat="1" applyFont="1" applyFill="1" applyBorder="1" applyAlignment="1">
      <alignment vertical="center"/>
    </xf>
    <xf numFmtId="207" fontId="72" fillId="16" borderId="0" xfId="8" applyNumberFormat="1" applyFont="1" applyFill="1" applyAlignment="1">
      <alignment vertical="center"/>
    </xf>
    <xf numFmtId="207" fontId="74" fillId="7" borderId="0" xfId="8" applyNumberFormat="1" applyFont="1" applyFill="1" applyAlignment="1">
      <alignment vertical="center"/>
    </xf>
    <xf numFmtId="0" fontId="78" fillId="0" borderId="0" xfId="8" applyFont="1" applyAlignment="1">
      <alignment vertical="center"/>
    </xf>
    <xf numFmtId="206" fontId="74" fillId="0" borderId="0" xfId="8" applyNumberFormat="1" applyFont="1" applyAlignment="1">
      <alignment vertical="center"/>
    </xf>
    <xf numFmtId="206" fontId="74" fillId="0" borderId="19" xfId="8" applyNumberFormat="1" applyFont="1" applyBorder="1" applyAlignment="1">
      <alignment vertical="center"/>
    </xf>
    <xf numFmtId="206" fontId="74" fillId="16" borderId="0" xfId="8" applyNumberFormat="1" applyFont="1" applyFill="1" applyAlignment="1">
      <alignment vertical="center"/>
    </xf>
    <xf numFmtId="206" fontId="74" fillId="0" borderId="16" xfId="8" applyNumberFormat="1" applyFont="1" applyBorder="1" applyAlignment="1">
      <alignment vertical="center"/>
    </xf>
    <xf numFmtId="211" fontId="65" fillId="0" borderId="0" xfId="8" applyNumberFormat="1" applyFont="1" applyAlignment="1">
      <alignment vertical="center"/>
    </xf>
    <xf numFmtId="211" fontId="65" fillId="0" borderId="19" xfId="8" applyNumberFormat="1" applyFont="1" applyBorder="1" applyAlignment="1">
      <alignment vertical="center"/>
    </xf>
    <xf numFmtId="206" fontId="74" fillId="16" borderId="4" xfId="8" applyNumberFormat="1" applyFont="1" applyFill="1" applyBorder="1" applyAlignment="1">
      <alignment vertical="center"/>
    </xf>
    <xf numFmtId="190" fontId="71" fillId="0" borderId="0" xfId="8" applyNumberFormat="1" applyFont="1" applyAlignment="1">
      <alignment vertical="center"/>
    </xf>
    <xf numFmtId="211" fontId="50" fillId="16" borderId="0" xfId="8" applyNumberFormat="1" applyFont="1" applyFill="1" applyAlignment="1">
      <alignment vertical="center"/>
    </xf>
    <xf numFmtId="211" fontId="50" fillId="16" borderId="4" xfId="8" applyNumberFormat="1" applyFont="1" applyFill="1" applyBorder="1" applyAlignment="1">
      <alignment vertical="center"/>
    </xf>
    <xf numFmtId="205" fontId="65" fillId="0" borderId="16" xfId="8" applyNumberFormat="1" applyFont="1" applyBorder="1" applyAlignment="1">
      <alignment vertical="center"/>
    </xf>
    <xf numFmtId="211" fontId="72" fillId="0" borderId="0" xfId="8" applyNumberFormat="1" applyFont="1" applyAlignment="1">
      <alignment vertical="center"/>
    </xf>
    <xf numFmtId="211" fontId="72" fillId="16" borderId="0" xfId="8" applyNumberFormat="1" applyFont="1" applyFill="1" applyAlignment="1">
      <alignment vertical="center"/>
    </xf>
    <xf numFmtId="211" fontId="72" fillId="16" borderId="4" xfId="8" applyNumberFormat="1" applyFont="1" applyFill="1" applyBorder="1" applyAlignment="1">
      <alignment vertical="center"/>
    </xf>
    <xf numFmtId="211" fontId="72" fillId="0" borderId="19" xfId="8" applyNumberFormat="1" applyFont="1" applyBorder="1" applyAlignment="1">
      <alignment vertical="center"/>
    </xf>
    <xf numFmtId="211" fontId="68" fillId="8" borderId="0" xfId="10" applyNumberFormat="1" applyFont="1" applyFill="1" applyAlignment="1">
      <alignment vertical="center"/>
    </xf>
    <xf numFmtId="211" fontId="68" fillId="16" borderId="0" xfId="10" applyNumberFormat="1" applyFont="1" applyFill="1" applyAlignment="1">
      <alignment vertical="center"/>
    </xf>
    <xf numFmtId="211" fontId="68" fillId="16" borderId="4" xfId="10" applyNumberFormat="1" applyFont="1" applyFill="1" applyBorder="1" applyAlignment="1">
      <alignment vertical="center"/>
    </xf>
    <xf numFmtId="205" fontId="66" fillId="7" borderId="0" xfId="8" applyNumberFormat="1" applyFont="1" applyFill="1" applyAlignment="1">
      <alignment vertical="center"/>
    </xf>
    <xf numFmtId="205" fontId="66" fillId="7" borderId="16" xfId="8" applyNumberFormat="1" applyFont="1" applyFill="1" applyBorder="1" applyAlignment="1">
      <alignment vertical="center"/>
    </xf>
    <xf numFmtId="212" fontId="72" fillId="0" borderId="0" xfId="8" applyNumberFormat="1" applyFont="1" applyAlignment="1">
      <alignment vertical="center"/>
    </xf>
    <xf numFmtId="212" fontId="72" fillId="0" borderId="19" xfId="8" applyNumberFormat="1" applyFont="1" applyBorder="1" applyAlignment="1">
      <alignment vertical="center"/>
    </xf>
    <xf numFmtId="212" fontId="72" fillId="16" borderId="0" xfId="8" applyNumberFormat="1" applyFont="1" applyFill="1" applyAlignment="1">
      <alignment vertical="center"/>
    </xf>
    <xf numFmtId="212" fontId="72" fillId="0" borderId="16" xfId="8" applyNumberFormat="1" applyFont="1" applyBorder="1" applyAlignment="1">
      <alignment vertical="center"/>
    </xf>
    <xf numFmtId="210" fontId="50" fillId="15" borderId="12" xfId="8" applyNumberFormat="1" applyFont="1" applyFill="1" applyBorder="1" applyAlignment="1">
      <alignment horizontal="centerContinuous" vertical="center"/>
    </xf>
    <xf numFmtId="211" fontId="50" fillId="0" borderId="19" xfId="8" applyNumberFormat="1" applyFont="1" applyBorder="1" applyAlignment="1">
      <alignment vertical="center"/>
    </xf>
    <xf numFmtId="211" fontId="50" fillId="0" borderId="0" xfId="8" applyNumberFormat="1" applyFont="1" applyAlignment="1">
      <alignment vertical="center"/>
    </xf>
    <xf numFmtId="211" fontId="50" fillId="0" borderId="16" xfId="8" applyNumberFormat="1" applyFont="1" applyBorder="1" applyAlignment="1">
      <alignment vertical="center"/>
    </xf>
    <xf numFmtId="211" fontId="66" fillId="0" borderId="0" xfId="8" applyNumberFormat="1" applyFont="1" applyAlignment="1">
      <alignment vertical="center"/>
    </xf>
    <xf numFmtId="211" fontId="66" fillId="16" borderId="0" xfId="8" applyNumberFormat="1" applyFont="1" applyFill="1" applyAlignment="1">
      <alignment vertical="center"/>
    </xf>
    <xf numFmtId="211" fontId="66" fillId="16" borderId="4" xfId="8" applyNumberFormat="1" applyFont="1" applyFill="1" applyBorder="1" applyAlignment="1">
      <alignment vertical="center"/>
    </xf>
    <xf numFmtId="211" fontId="66" fillId="0" borderId="19" xfId="8" applyNumberFormat="1" applyFont="1" applyBorder="1" applyAlignment="1">
      <alignment vertical="center"/>
    </xf>
    <xf numFmtId="0" fontId="71" fillId="0" borderId="5" xfId="8" applyFont="1" applyBorder="1" applyAlignment="1">
      <alignment horizontal="left" vertical="center"/>
    </xf>
    <xf numFmtId="0" fontId="71" fillId="0" borderId="5" xfId="8" applyFont="1" applyBorder="1" applyAlignment="1">
      <alignment horizontal="right" vertical="center"/>
    </xf>
    <xf numFmtId="0" fontId="71" fillId="0" borderId="4" xfId="8" applyFont="1" applyBorder="1" applyAlignment="1">
      <alignment horizontal="right" vertical="center"/>
    </xf>
    <xf numFmtId="0" fontId="68" fillId="0" borderId="0" xfId="8" applyFont="1" applyAlignment="1">
      <alignment horizontal="right" vertical="center"/>
    </xf>
    <xf numFmtId="168" fontId="65" fillId="0" borderId="0" xfId="8" applyNumberFormat="1" applyFont="1" applyAlignment="1">
      <alignment vertical="center"/>
    </xf>
    <xf numFmtId="168" fontId="66" fillId="16" borderId="0" xfId="8" applyNumberFormat="1" applyFont="1" applyFill="1" applyAlignment="1">
      <alignment vertical="center"/>
    </xf>
    <xf numFmtId="168" fontId="66" fillId="16" borderId="4" xfId="8" applyNumberFormat="1" applyFont="1" applyFill="1" applyBorder="1" applyAlignment="1">
      <alignment vertical="center"/>
    </xf>
    <xf numFmtId="168" fontId="68" fillId="0" borderId="4" xfId="8" applyNumberFormat="1" applyFont="1" applyBorder="1" applyAlignment="1">
      <alignment vertical="center"/>
    </xf>
    <xf numFmtId="10" fontId="68" fillId="0" borderId="4" xfId="8" applyNumberFormat="1" applyFont="1" applyBorder="1" applyAlignment="1">
      <alignment vertical="center"/>
    </xf>
    <xf numFmtId="10" fontId="68" fillId="0" borderId="0" xfId="8" applyNumberFormat="1" applyFont="1" applyAlignment="1">
      <alignment vertical="center"/>
    </xf>
    <xf numFmtId="168" fontId="68" fillId="0" borderId="0" xfId="8" applyNumberFormat="1" applyFont="1" applyAlignment="1">
      <alignment vertical="center"/>
    </xf>
    <xf numFmtId="168" fontId="68" fillId="16" borderId="0" xfId="8" applyNumberFormat="1" applyFont="1" applyFill="1" applyAlignment="1">
      <alignment vertical="center"/>
    </xf>
    <xf numFmtId="168" fontId="68" fillId="16" borderId="4" xfId="8" applyNumberFormat="1" applyFont="1" applyFill="1" applyBorder="1" applyAlignment="1">
      <alignment vertical="center"/>
    </xf>
    <xf numFmtId="0" fontId="69" fillId="0" borderId="4" xfId="8" applyFont="1" applyBorder="1" applyAlignment="1">
      <alignment vertical="center"/>
    </xf>
    <xf numFmtId="0" fontId="79" fillId="0" borderId="0" xfId="8" applyFont="1" applyAlignment="1">
      <alignment vertical="center"/>
    </xf>
    <xf numFmtId="0" fontId="80" fillId="0" borderId="0" xfId="8" applyFont="1" applyAlignment="1">
      <alignment horizontal="right" vertical="center"/>
    </xf>
    <xf numFmtId="0" fontId="80" fillId="16" borderId="0" xfId="8" applyFont="1" applyFill="1" applyAlignment="1">
      <alignment horizontal="right" vertical="center"/>
    </xf>
    <xf numFmtId="0" fontId="80" fillId="16" borderId="4" xfId="8" applyFont="1" applyFill="1" applyBorder="1" applyAlignment="1">
      <alignment horizontal="right" vertical="center"/>
    </xf>
    <xf numFmtId="0" fontId="80" fillId="0" borderId="4" xfId="8" applyFont="1" applyBorder="1" applyAlignment="1">
      <alignment horizontal="right" vertical="center"/>
    </xf>
    <xf numFmtId="0" fontId="68" fillId="8" borderId="0" xfId="8" applyFont="1" applyFill="1" applyAlignment="1">
      <alignment vertical="center"/>
    </xf>
    <xf numFmtId="211" fontId="65" fillId="16" borderId="0" xfId="8" applyNumberFormat="1" applyFont="1" applyFill="1" applyAlignment="1">
      <alignment vertical="center"/>
    </xf>
    <xf numFmtId="211" fontId="65" fillId="16" borderId="4" xfId="8" applyNumberFormat="1" applyFont="1" applyFill="1" applyBorder="1" applyAlignment="1">
      <alignment vertical="center"/>
    </xf>
    <xf numFmtId="0" fontId="68" fillId="8" borderId="5" xfId="8" applyFont="1" applyFill="1" applyBorder="1" applyAlignment="1">
      <alignment vertical="center"/>
    </xf>
    <xf numFmtId="211" fontId="65" fillId="0" borderId="5" xfId="8" applyNumberFormat="1" applyFont="1" applyBorder="1" applyAlignment="1">
      <alignment vertical="center"/>
    </xf>
    <xf numFmtId="211" fontId="65" fillId="16" borderId="5" xfId="8" applyNumberFormat="1" applyFont="1" applyFill="1" applyBorder="1" applyAlignment="1">
      <alignment vertical="center"/>
    </xf>
    <xf numFmtId="211" fontId="65" fillId="16" borderId="11" xfId="8" applyNumberFormat="1" applyFont="1" applyFill="1" applyBorder="1" applyAlignment="1">
      <alignment vertical="center"/>
    </xf>
    <xf numFmtId="211" fontId="50" fillId="16" borderId="5" xfId="8" applyNumberFormat="1" applyFont="1" applyFill="1" applyBorder="1" applyAlignment="1">
      <alignment vertical="center"/>
    </xf>
    <xf numFmtId="211" fontId="50" fillId="0" borderId="20" xfId="8" applyNumberFormat="1" applyFont="1" applyBorder="1" applyAlignment="1">
      <alignment vertical="center"/>
    </xf>
    <xf numFmtId="211" fontId="50" fillId="0" borderId="5" xfId="8" applyNumberFormat="1" applyFont="1" applyBorder="1" applyAlignment="1">
      <alignment vertical="center"/>
    </xf>
    <xf numFmtId="211" fontId="50" fillId="0" borderId="18" xfId="8" applyNumberFormat="1" applyFont="1" applyBorder="1" applyAlignment="1">
      <alignment vertical="center"/>
    </xf>
    <xf numFmtId="0" fontId="67" fillId="0" borderId="9" xfId="6" applyFont="1" applyBorder="1" applyAlignment="1">
      <alignment vertical="center"/>
    </xf>
    <xf numFmtId="211" fontId="67" fillId="0" borderId="0" xfId="8" applyNumberFormat="1" applyFont="1" applyAlignment="1">
      <alignment vertical="center"/>
    </xf>
    <xf numFmtId="211" fontId="67" fillId="16" borderId="0" xfId="8" applyNumberFormat="1" applyFont="1" applyFill="1" applyAlignment="1">
      <alignment vertical="center"/>
    </xf>
    <xf numFmtId="211" fontId="67" fillId="16" borderId="4" xfId="8" applyNumberFormat="1" applyFont="1" applyFill="1" applyBorder="1" applyAlignment="1">
      <alignment vertical="center"/>
    </xf>
    <xf numFmtId="211" fontId="71" fillId="16" borderId="0" xfId="8" applyNumberFormat="1" applyFont="1" applyFill="1" applyAlignment="1">
      <alignment vertical="center"/>
    </xf>
    <xf numFmtId="211" fontId="71" fillId="0" borderId="19" xfId="8" applyNumberFormat="1" applyFont="1" applyBorder="1" applyAlignment="1">
      <alignment vertical="center"/>
    </xf>
    <xf numFmtId="211" fontId="71" fillId="16" borderId="9" xfId="8" applyNumberFormat="1" applyFont="1" applyFill="1" applyBorder="1" applyAlignment="1">
      <alignment vertical="center"/>
    </xf>
    <xf numFmtId="211" fontId="71" fillId="0" borderId="0" xfId="8" applyNumberFormat="1" applyFont="1" applyAlignment="1">
      <alignment vertical="center"/>
    </xf>
    <xf numFmtId="211" fontId="71" fillId="0" borderId="16" xfId="8" applyNumberFormat="1" applyFont="1" applyBorder="1" applyAlignment="1">
      <alignment vertical="center"/>
    </xf>
    <xf numFmtId="0" fontId="50" fillId="16" borderId="0" xfId="8" applyFont="1" applyFill="1" applyAlignment="1">
      <alignment vertical="center"/>
    </xf>
    <xf numFmtId="0" fontId="50" fillId="0" borderId="19" xfId="8" applyFont="1" applyBorder="1" applyAlignment="1">
      <alignment vertical="center"/>
    </xf>
    <xf numFmtId="0" fontId="50" fillId="0" borderId="16" xfId="8" applyFont="1" applyBorder="1" applyAlignment="1">
      <alignment vertical="center"/>
    </xf>
    <xf numFmtId="0" fontId="68" fillId="0" borderId="9" xfId="8" applyFont="1" applyBorder="1" applyAlignment="1">
      <alignment vertical="center"/>
    </xf>
    <xf numFmtId="0" fontId="68" fillId="8" borderId="9" xfId="8" applyFont="1" applyFill="1" applyBorder="1" applyAlignment="1">
      <alignment vertical="center"/>
    </xf>
    <xf numFmtId="205" fontId="67" fillId="0" borderId="9" xfId="8" applyNumberFormat="1" applyFont="1" applyBorder="1" applyAlignment="1">
      <alignment vertical="center"/>
    </xf>
    <xf numFmtId="205" fontId="71" fillId="16" borderId="9" xfId="8" applyNumberFormat="1" applyFont="1" applyFill="1" applyBorder="1" applyAlignment="1">
      <alignment vertical="center"/>
    </xf>
    <xf numFmtId="205" fontId="71" fillId="16" borderId="10" xfId="8" applyNumberFormat="1" applyFont="1" applyFill="1" applyBorder="1" applyAlignment="1">
      <alignment vertical="center"/>
    </xf>
    <xf numFmtId="205" fontId="71" fillId="0" borderId="21" xfId="8" applyNumberFormat="1" applyFont="1" applyBorder="1" applyAlignment="1">
      <alignment vertical="center"/>
    </xf>
    <xf numFmtId="205" fontId="67" fillId="16" borderId="9" xfId="8" applyNumberFormat="1" applyFont="1" applyFill="1" applyBorder="1" applyAlignment="1">
      <alignment vertical="center"/>
    </xf>
    <xf numFmtId="211" fontId="71" fillId="0" borderId="21" xfId="8" applyNumberFormat="1" applyFont="1" applyBorder="1" applyAlignment="1">
      <alignment vertical="center"/>
    </xf>
    <xf numFmtId="211" fontId="71" fillId="0" borderId="9" xfId="8" applyNumberFormat="1" applyFont="1" applyBorder="1" applyAlignment="1">
      <alignment vertical="center"/>
    </xf>
    <xf numFmtId="211" fontId="71" fillId="0" borderId="17" xfId="8" applyNumberFormat="1" applyFont="1" applyBorder="1" applyAlignment="1">
      <alignment vertical="center"/>
    </xf>
    <xf numFmtId="0" fontId="76" fillId="8" borderId="0" xfId="8" applyFont="1" applyFill="1" applyAlignment="1">
      <alignment vertical="center"/>
    </xf>
    <xf numFmtId="0" fontId="76" fillId="16" borderId="0" xfId="8" applyFont="1" applyFill="1" applyAlignment="1">
      <alignment vertical="center"/>
    </xf>
    <xf numFmtId="0" fontId="76" fillId="16" borderId="4" xfId="8" applyFont="1" applyFill="1" applyBorder="1" applyAlignment="1">
      <alignment vertical="center"/>
    </xf>
    <xf numFmtId="0" fontId="76" fillId="0" borderId="0" xfId="6" applyFont="1" applyAlignment="1">
      <alignment horizontal="left" vertical="center" indent="1"/>
    </xf>
    <xf numFmtId="205" fontId="76" fillId="0" borderId="0" xfId="8" applyNumberFormat="1" applyFont="1" applyAlignment="1">
      <alignment vertical="center"/>
    </xf>
    <xf numFmtId="211" fontId="72" fillId="0" borderId="16" xfId="8" applyNumberFormat="1" applyFont="1" applyBorder="1" applyAlignment="1">
      <alignment vertical="center"/>
    </xf>
    <xf numFmtId="0" fontId="66" fillId="8" borderId="0" xfId="8" applyFont="1" applyFill="1" applyAlignment="1">
      <alignment vertical="center"/>
    </xf>
    <xf numFmtId="0" fontId="66" fillId="16" borderId="0" xfId="8" applyFont="1" applyFill="1" applyAlignment="1">
      <alignment vertical="center"/>
    </xf>
    <xf numFmtId="0" fontId="66" fillId="16" borderId="4" xfId="8" applyFont="1" applyFill="1" applyBorder="1" applyAlignment="1">
      <alignment vertical="center"/>
    </xf>
    <xf numFmtId="0" fontId="66" fillId="8" borderId="19" xfId="8" applyFont="1" applyFill="1" applyBorder="1" applyAlignment="1">
      <alignment vertical="center"/>
    </xf>
    <xf numFmtId="0" fontId="66" fillId="8" borderId="16" xfId="8" applyFont="1" applyFill="1" applyBorder="1" applyAlignment="1">
      <alignment vertical="center"/>
    </xf>
    <xf numFmtId="0" fontId="76" fillId="0" borderId="9" xfId="6" applyFont="1" applyBorder="1" applyAlignment="1">
      <alignment horizontal="left" vertical="center" indent="1"/>
    </xf>
    <xf numFmtId="0" fontId="76" fillId="0" borderId="9" xfId="8" applyFont="1" applyBorder="1" applyAlignment="1">
      <alignment vertical="center"/>
    </xf>
    <xf numFmtId="0" fontId="76" fillId="8" borderId="9" xfId="8" applyFont="1" applyFill="1" applyBorder="1" applyAlignment="1">
      <alignment vertical="center"/>
    </xf>
    <xf numFmtId="205" fontId="76" fillId="0" borderId="9" xfId="8" applyNumberFormat="1" applyFont="1" applyBorder="1" applyAlignment="1">
      <alignment vertical="center"/>
    </xf>
    <xf numFmtId="211" fontId="72" fillId="16" borderId="9" xfId="8" applyNumberFormat="1" applyFont="1" applyFill="1" applyBorder="1" applyAlignment="1">
      <alignment vertical="center"/>
    </xf>
    <xf numFmtId="211" fontId="72" fillId="16" borderId="10" xfId="8" applyNumberFormat="1" applyFont="1" applyFill="1" applyBorder="1" applyAlignment="1">
      <alignment vertical="center"/>
    </xf>
    <xf numFmtId="211" fontId="72" fillId="0" borderId="21" xfId="8" applyNumberFormat="1" applyFont="1" applyBorder="1" applyAlignment="1">
      <alignment vertical="center"/>
    </xf>
    <xf numFmtId="211" fontId="72" fillId="0" borderId="9" xfId="8" applyNumberFormat="1" applyFont="1" applyBorder="1" applyAlignment="1">
      <alignment vertical="center"/>
    </xf>
    <xf numFmtId="211" fontId="72" fillId="0" borderId="17" xfId="8" applyNumberFormat="1" applyFont="1" applyBorder="1" applyAlignment="1">
      <alignment vertical="center"/>
    </xf>
    <xf numFmtId="0" fontId="68" fillId="0" borderId="19" xfId="8" applyFont="1" applyBorder="1" applyAlignment="1">
      <alignment vertical="center"/>
    </xf>
    <xf numFmtId="0" fontId="68" fillId="0" borderId="16" xfId="8" applyFont="1" applyBorder="1" applyAlignment="1">
      <alignment vertical="center"/>
    </xf>
    <xf numFmtId="167" fontId="76" fillId="0" borderId="0" xfId="7" applyNumberFormat="1" applyFont="1" applyAlignment="1">
      <alignment vertical="center"/>
    </xf>
    <xf numFmtId="167" fontId="76" fillId="16" borderId="0" xfId="7" applyNumberFormat="1" applyFont="1" applyFill="1" applyAlignment="1">
      <alignment vertical="center"/>
    </xf>
    <xf numFmtId="167" fontId="76" fillId="16" borderId="4" xfId="7" applyNumberFormat="1" applyFont="1" applyFill="1" applyBorder="1" applyAlignment="1">
      <alignment vertical="center"/>
    </xf>
    <xf numFmtId="167" fontId="72" fillId="16" borderId="0" xfId="7" applyNumberFormat="1" applyFont="1" applyFill="1" applyAlignment="1">
      <alignment vertical="center"/>
    </xf>
    <xf numFmtId="167" fontId="74" fillId="0" borderId="19" xfId="7" applyNumberFormat="1" applyFont="1" applyBorder="1" applyAlignment="1">
      <alignment vertical="center"/>
    </xf>
    <xf numFmtId="167" fontId="72" fillId="16" borderId="0" xfId="8" applyNumberFormat="1" applyFont="1" applyFill="1" applyAlignment="1">
      <alignment vertical="center"/>
    </xf>
    <xf numFmtId="167" fontId="74" fillId="0" borderId="19" xfId="8" applyNumberFormat="1" applyFont="1" applyBorder="1" applyAlignment="1">
      <alignment vertical="center"/>
    </xf>
    <xf numFmtId="167" fontId="74" fillId="0" borderId="0" xfId="8" applyNumberFormat="1" applyFont="1" applyAlignment="1">
      <alignment vertical="center"/>
    </xf>
    <xf numFmtId="167" fontId="74" fillId="0" borderId="16" xfId="8" applyNumberFormat="1" applyFont="1" applyBorder="1" applyAlignment="1">
      <alignment vertical="center"/>
    </xf>
    <xf numFmtId="207" fontId="72" fillId="16" borderId="4" xfId="8" applyNumberFormat="1" applyFont="1" applyFill="1" applyBorder="1" applyAlignment="1">
      <alignment vertical="center"/>
    </xf>
    <xf numFmtId="207" fontId="72" fillId="0" borderId="16" xfId="8" applyNumberFormat="1" applyFont="1" applyBorder="1" applyAlignment="1">
      <alignment vertical="center"/>
    </xf>
    <xf numFmtId="0" fontId="65" fillId="0" borderId="19" xfId="8" applyFont="1" applyBorder="1" applyAlignment="1">
      <alignment vertical="center"/>
    </xf>
    <xf numFmtId="167" fontId="72" fillId="0" borderId="19" xfId="8" applyNumberFormat="1" applyFont="1" applyBorder="1" applyAlignment="1">
      <alignment vertical="center"/>
    </xf>
    <xf numFmtId="167" fontId="72" fillId="0" borderId="0" xfId="8" applyNumberFormat="1" applyFont="1" applyAlignment="1">
      <alignment vertical="center"/>
    </xf>
    <xf numFmtId="167" fontId="72" fillId="0" borderId="16" xfId="8" applyNumberFormat="1" applyFont="1" applyBorder="1" applyAlignment="1">
      <alignment vertical="center"/>
    </xf>
    <xf numFmtId="0" fontId="67" fillId="0" borderId="0" xfId="8" applyFont="1" applyAlignment="1">
      <alignment vertical="center"/>
    </xf>
    <xf numFmtId="0" fontId="68" fillId="0" borderId="0" xfId="8" applyFont="1" applyAlignment="1">
      <alignment horizontal="left" vertical="center"/>
    </xf>
    <xf numFmtId="0" fontId="68" fillId="0" borderId="5" xfId="8" applyFont="1" applyBorder="1" applyAlignment="1">
      <alignment horizontal="left" vertical="center"/>
    </xf>
    <xf numFmtId="211" fontId="66" fillId="16" borderId="5" xfId="8" applyNumberFormat="1" applyFont="1" applyFill="1" applyBorder="1" applyAlignment="1">
      <alignment vertical="center"/>
    </xf>
    <xf numFmtId="211" fontId="66" fillId="16" borderId="11" xfId="8" applyNumberFormat="1" applyFont="1" applyFill="1" applyBorder="1" applyAlignment="1">
      <alignment vertical="center"/>
    </xf>
    <xf numFmtId="211" fontId="65" fillId="0" borderId="20" xfId="8" applyNumberFormat="1" applyFont="1" applyBorder="1" applyAlignment="1">
      <alignment vertical="center"/>
    </xf>
    <xf numFmtId="0" fontId="68" fillId="0" borderId="9" xfId="8" applyFont="1" applyBorder="1" applyAlignment="1">
      <alignment horizontal="left" vertical="center"/>
    </xf>
    <xf numFmtId="211" fontId="65" fillId="0" borderId="9" xfId="8" applyNumberFormat="1" applyFont="1" applyBorder="1" applyAlignment="1">
      <alignment vertical="center"/>
    </xf>
    <xf numFmtId="211" fontId="66" fillId="16" borderId="9" xfId="8" applyNumberFormat="1" applyFont="1" applyFill="1" applyBorder="1" applyAlignment="1">
      <alignment vertical="center"/>
    </xf>
    <xf numFmtId="211" fontId="66" fillId="16" borderId="10" xfId="8" applyNumberFormat="1" applyFont="1" applyFill="1" applyBorder="1" applyAlignment="1">
      <alignment vertical="center"/>
    </xf>
    <xf numFmtId="211" fontId="65" fillId="0" borderId="21" xfId="8" applyNumberFormat="1" applyFont="1" applyBorder="1" applyAlignment="1">
      <alignment vertical="center"/>
    </xf>
    <xf numFmtId="211" fontId="50" fillId="16" borderId="9" xfId="8" applyNumberFormat="1" applyFont="1" applyFill="1" applyBorder="1" applyAlignment="1">
      <alignment vertical="center"/>
    </xf>
    <xf numFmtId="211" fontId="50" fillId="0" borderId="21" xfId="8" applyNumberFormat="1" applyFont="1" applyBorder="1" applyAlignment="1">
      <alignment vertical="center"/>
    </xf>
    <xf numFmtId="211" fontId="50" fillId="0" borderId="9" xfId="8" applyNumberFormat="1" applyFont="1" applyBorder="1" applyAlignment="1">
      <alignment vertical="center"/>
    </xf>
    <xf numFmtId="211" fontId="50" fillId="0" borderId="17" xfId="8" applyNumberFormat="1" applyFont="1" applyBorder="1" applyAlignment="1">
      <alignment vertical="center"/>
    </xf>
    <xf numFmtId="0" fontId="76" fillId="0" borderId="0" xfId="8" applyFont="1" applyAlignment="1">
      <alignment horizontal="left" vertical="center"/>
    </xf>
    <xf numFmtId="10" fontId="68" fillId="16" borderId="0" xfId="8" applyNumberFormat="1" applyFont="1" applyFill="1" applyAlignment="1">
      <alignment vertical="center"/>
    </xf>
    <xf numFmtId="10" fontId="68" fillId="16" borderId="4" xfId="8" applyNumberFormat="1" applyFont="1" applyFill="1" applyBorder="1" applyAlignment="1">
      <alignment vertical="center"/>
    </xf>
    <xf numFmtId="0" fontId="75" fillId="0" borderId="4" xfId="8" applyFont="1" applyBorder="1" applyAlignment="1">
      <alignment horizontal="right" vertical="center"/>
    </xf>
    <xf numFmtId="169" fontId="68" fillId="0" borderId="5" xfId="9" applyNumberFormat="1" applyFont="1" applyBorder="1"/>
    <xf numFmtId="169" fontId="68" fillId="16" borderId="0" xfId="9" applyNumberFormat="1" applyFont="1" applyFill="1"/>
    <xf numFmtId="169" fontId="68" fillId="0" borderId="4" xfId="9" applyNumberFormat="1" applyFont="1" applyBorder="1"/>
    <xf numFmtId="169" fontId="68" fillId="0" borderId="0" xfId="9" applyNumberFormat="1" applyFont="1"/>
    <xf numFmtId="0" fontId="68" fillId="0" borderId="0" xfId="0" applyFont="1"/>
    <xf numFmtId="0" fontId="68" fillId="0" borderId="4" xfId="0" applyFont="1" applyBorder="1"/>
    <xf numFmtId="10" fontId="68" fillId="0" borderId="4" xfId="0" applyNumberFormat="1" applyFont="1" applyBorder="1"/>
    <xf numFmtId="10" fontId="68" fillId="0" borderId="0" xfId="0" applyNumberFormat="1" applyFont="1"/>
    <xf numFmtId="168" fontId="68" fillId="0" borderId="0" xfId="0" applyNumberFormat="1" applyFont="1"/>
    <xf numFmtId="0" fontId="68" fillId="0" borderId="0" xfId="0" applyFont="1" applyAlignment="1">
      <alignment horizontal="left" indent="1"/>
    </xf>
    <xf numFmtId="0" fontId="67" fillId="0" borderId="0" xfId="0" applyFont="1"/>
    <xf numFmtId="10" fontId="67" fillId="0" borderId="0" xfId="0" applyNumberFormat="1" applyFont="1"/>
    <xf numFmtId="4" fontId="65" fillId="0" borderId="0" xfId="0" applyNumberFormat="1" applyFont="1"/>
    <xf numFmtId="0" fontId="68" fillId="6" borderId="0" xfId="0" applyFont="1" applyFill="1" applyAlignment="1">
      <alignment horizontal="center"/>
    </xf>
    <xf numFmtId="0" fontId="68" fillId="0" borderId="29" xfId="0" applyFont="1" applyBorder="1"/>
    <xf numFmtId="0" fontId="68" fillId="0" borderId="28" xfId="0" applyFont="1" applyBorder="1"/>
    <xf numFmtId="0" fontId="68" fillId="0" borderId="27" xfId="0" applyFont="1" applyBorder="1"/>
    <xf numFmtId="0" fontId="68" fillId="0" borderId="26" xfId="0" applyFont="1" applyBorder="1"/>
    <xf numFmtId="168" fontId="65" fillId="7" borderId="33" xfId="0" applyNumberFormat="1" applyFont="1" applyFill="1" applyBorder="1"/>
    <xf numFmtId="0" fontId="50" fillId="0" borderId="32" xfId="0" applyFont="1" applyBorder="1"/>
    <xf numFmtId="0" fontId="50" fillId="0" borderId="7" xfId="0" applyFont="1" applyBorder="1"/>
    <xf numFmtId="14" fontId="50" fillId="0" borderId="7" xfId="0" applyNumberFormat="1" applyFont="1" applyBorder="1"/>
    <xf numFmtId="0" fontId="64" fillId="3" borderId="7" xfId="0" applyFont="1" applyFill="1" applyBorder="1"/>
    <xf numFmtId="169" fontId="65" fillId="0" borderId="7" xfId="0" applyNumberFormat="1" applyFont="1" applyBorder="1"/>
    <xf numFmtId="169" fontId="50" fillId="0" borderId="7" xfId="0" applyNumberFormat="1" applyFont="1" applyBorder="1"/>
    <xf numFmtId="168" fontId="50" fillId="0" borderId="7" xfId="3" applyNumberFormat="1" applyFont="1" applyBorder="1"/>
    <xf numFmtId="169" fontId="50" fillId="0" borderId="34" xfId="0" applyNumberFormat="1" applyFont="1" applyBorder="1"/>
    <xf numFmtId="168" fontId="50" fillId="0" borderId="35" xfId="3" applyNumberFormat="1" applyFont="1" applyBorder="1"/>
    <xf numFmtId="168" fontId="50" fillId="0" borderId="7" xfId="0" applyNumberFormat="1" applyFont="1" applyBorder="1"/>
    <xf numFmtId="0" fontId="54" fillId="7" borderId="31" xfId="0" applyFont="1" applyFill="1" applyBorder="1"/>
    <xf numFmtId="0" fontId="50" fillId="0" borderId="0" xfId="0" applyFont="1" applyAlignment="1">
      <alignment horizontal="left" indent="4"/>
    </xf>
    <xf numFmtId="0" fontId="64" fillId="3" borderId="0" xfId="0" applyFont="1" applyFill="1" applyAlignment="1">
      <alignment horizontal="left"/>
    </xf>
    <xf numFmtId="168" fontId="64" fillId="3" borderId="0" xfId="3" applyNumberFormat="1" applyFont="1" applyFill="1"/>
    <xf numFmtId="1" fontId="64" fillId="3" borderId="7" xfId="3" applyNumberFormat="1" applyFont="1" applyFill="1" applyBorder="1"/>
    <xf numFmtId="1" fontId="64" fillId="3" borderId="0" xfId="3" applyNumberFormat="1" applyFont="1" applyFill="1"/>
    <xf numFmtId="0" fontId="81" fillId="3" borderId="0" xfId="8" applyFont="1" applyFill="1" applyAlignment="1">
      <alignment vertical="center"/>
    </xf>
    <xf numFmtId="0" fontId="82" fillId="3" borderId="0" xfId="8" applyFont="1" applyFill="1" applyAlignment="1">
      <alignment vertical="center"/>
    </xf>
    <xf numFmtId="0" fontId="81" fillId="3" borderId="4" xfId="8" applyFont="1" applyFill="1" applyBorder="1" applyAlignment="1">
      <alignment vertical="center"/>
    </xf>
    <xf numFmtId="0" fontId="83" fillId="0" borderId="0" xfId="0" applyFont="1"/>
    <xf numFmtId="200" fontId="84" fillId="0" borderId="5" xfId="8" applyNumberFormat="1" applyFont="1" applyBorder="1" applyAlignment="1">
      <alignment horizontal="right" vertical="center"/>
    </xf>
    <xf numFmtId="200" fontId="84" fillId="0" borderId="11" xfId="8" applyNumberFormat="1" applyFont="1" applyBorder="1" applyAlignment="1">
      <alignment horizontal="right" vertical="center"/>
    </xf>
    <xf numFmtId="0" fontId="84" fillId="0" borderId="5" xfId="8" applyFont="1" applyBorder="1" applyAlignment="1">
      <alignment horizontal="right" vertical="center"/>
    </xf>
    <xf numFmtId="10" fontId="85" fillId="0" borderId="0" xfId="0" applyNumberFormat="1" applyFont="1"/>
    <xf numFmtId="10" fontId="83" fillId="0" borderId="4" xfId="0" applyNumberFormat="1" applyFont="1" applyBorder="1"/>
    <xf numFmtId="10" fontId="83" fillId="0" borderId="0" xfId="0" applyNumberFormat="1" applyFont="1"/>
    <xf numFmtId="168" fontId="83" fillId="0" borderId="0" xfId="0" applyNumberFormat="1" applyFont="1"/>
    <xf numFmtId="0" fontId="83" fillId="0" borderId="0" xfId="0" applyFont="1" applyAlignment="1">
      <alignment horizontal="left" indent="1"/>
    </xf>
    <xf numFmtId="0" fontId="85" fillId="0" borderId="0" xfId="0" applyFont="1"/>
    <xf numFmtId="169" fontId="86" fillId="7" borderId="31" xfId="0" applyNumberFormat="1" applyFont="1" applyFill="1" applyBorder="1"/>
    <xf numFmtId="169" fontId="86" fillId="20" borderId="0" xfId="0" applyNumberFormat="1" applyFont="1" applyFill="1"/>
    <xf numFmtId="0" fontId="83" fillId="0" borderId="4" xfId="0" applyFont="1" applyBorder="1"/>
    <xf numFmtId="0" fontId="87" fillId="0" borderId="0" xfId="0" applyFont="1"/>
    <xf numFmtId="0" fontId="87" fillId="0" borderId="4" xfId="0" applyFont="1" applyBorder="1"/>
    <xf numFmtId="0" fontId="83" fillId="0" borderId="9" xfId="0" applyFont="1" applyBorder="1"/>
    <xf numFmtId="10" fontId="85" fillId="0" borderId="9" xfId="0" applyNumberFormat="1" applyFont="1" applyBorder="1"/>
    <xf numFmtId="10" fontId="85" fillId="0" borderId="10" xfId="0" applyNumberFormat="1" applyFont="1" applyBorder="1"/>
    <xf numFmtId="168" fontId="83" fillId="0" borderId="9" xfId="0" applyNumberFormat="1" applyFont="1" applyBorder="1"/>
    <xf numFmtId="0" fontId="88" fillId="0" borderId="0" xfId="0" applyFont="1"/>
    <xf numFmtId="0" fontId="89" fillId="0" borderId="2" xfId="0" applyFont="1" applyBorder="1" applyAlignment="1">
      <alignment horizontal="left"/>
    </xf>
    <xf numFmtId="0" fontId="90" fillId="0" borderId="2" xfId="0" applyFont="1" applyBorder="1"/>
    <xf numFmtId="166" fontId="89" fillId="0" borderId="2" xfId="0" applyNumberFormat="1" applyFont="1" applyBorder="1"/>
    <xf numFmtId="10" fontId="89" fillId="0" borderId="3" xfId="3" applyNumberFormat="1" applyFont="1" applyBorder="1"/>
    <xf numFmtId="0" fontId="90" fillId="0" borderId="0" xfId="0" applyFont="1"/>
    <xf numFmtId="0" fontId="90" fillId="0" borderId="0" xfId="0" applyFont="1" applyAlignment="1">
      <alignment horizontal="left"/>
    </xf>
    <xf numFmtId="10" fontId="91" fillId="0" borderId="7" xfId="0" applyNumberFormat="1" applyFont="1" applyBorder="1" applyAlignment="1">
      <alignment horizontal="right"/>
    </xf>
    <xf numFmtId="177" fontId="91" fillId="0" borderId="8" xfId="0" applyNumberFormat="1" applyFont="1" applyBorder="1" applyAlignment="1">
      <alignment horizontal="right"/>
    </xf>
    <xf numFmtId="165" fontId="90" fillId="0" borderId="7" xfId="0" applyNumberFormat="1" applyFont="1" applyBorder="1"/>
    <xf numFmtId="9" fontId="90" fillId="0" borderId="0" xfId="3" applyFont="1"/>
    <xf numFmtId="0" fontId="90" fillId="0" borderId="0" xfId="0" applyFont="1" applyAlignment="1">
      <alignment horizontal="right" wrapText="1"/>
    </xf>
    <xf numFmtId="168" fontId="90" fillId="2" borderId="0" xfId="3" applyNumberFormat="1" applyFont="1" applyFill="1"/>
    <xf numFmtId="0" fontId="90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91" fillId="0" borderId="0" xfId="0" applyFont="1" applyAlignment="1">
      <alignment horizontal="center"/>
    </xf>
    <xf numFmtId="165" fontId="90" fillId="0" borderId="0" xfId="0" applyNumberFormat="1" applyFont="1"/>
    <xf numFmtId="165" fontId="90" fillId="0" borderId="0" xfId="0" applyNumberFormat="1" applyFont="1" applyAlignment="1">
      <alignment horizontal="right"/>
    </xf>
    <xf numFmtId="167" fontId="90" fillId="0" borderId="0" xfId="1" applyNumberFormat="1" applyFont="1"/>
    <xf numFmtId="170" fontId="90" fillId="0" borderId="5" xfId="0" applyNumberFormat="1" applyFont="1" applyBorder="1"/>
    <xf numFmtId="167" fontId="90" fillId="0" borderId="0" xfId="0" applyNumberFormat="1" applyFont="1"/>
    <xf numFmtId="167" fontId="90" fillId="0" borderId="0" xfId="1" applyNumberFormat="1" applyFont="1" applyAlignment="1">
      <alignment horizontal="right"/>
    </xf>
    <xf numFmtId="9" fontId="91" fillId="0" borderId="0" xfId="0" applyNumberFormat="1" applyFont="1" applyAlignment="1">
      <alignment horizontal="left"/>
    </xf>
    <xf numFmtId="167" fontId="90" fillId="0" borderId="5" xfId="1" applyNumberFormat="1" applyFont="1" applyBorder="1"/>
    <xf numFmtId="0" fontId="91" fillId="0" borderId="0" xfId="0" applyFont="1"/>
    <xf numFmtId="170" fontId="91" fillId="0" borderId="0" xfId="0" applyNumberFormat="1" applyFont="1"/>
    <xf numFmtId="0" fontId="92" fillId="0" borderId="1" xfId="0" applyFont="1" applyBorder="1" applyAlignment="1">
      <alignment horizontal="left"/>
    </xf>
    <xf numFmtId="0" fontId="11" fillId="5" borderId="0" xfId="0" applyFont="1" applyFill="1" applyAlignment="1">
      <alignment horizontal="centerContinuous"/>
    </xf>
    <xf numFmtId="0" fontId="3" fillId="5" borderId="0" xfId="0" applyFont="1" applyFill="1" applyAlignment="1">
      <alignment horizontal="centerContinuous"/>
    </xf>
    <xf numFmtId="0" fontId="5" fillId="5" borderId="13" xfId="0" applyFont="1" applyFill="1" applyBorder="1" applyAlignment="1">
      <alignment horizontal="left"/>
    </xf>
    <xf numFmtId="0" fontId="5" fillId="5" borderId="9" xfId="0" applyFont="1" applyFill="1" applyBorder="1" applyAlignment="1">
      <alignment horizontal="right"/>
    </xf>
    <xf numFmtId="0" fontId="5" fillId="5" borderId="10" xfId="0" applyFont="1" applyFill="1" applyBorder="1" applyAlignment="1">
      <alignment horizontal="right"/>
    </xf>
    <xf numFmtId="0" fontId="3" fillId="5" borderId="14" xfId="0" applyFont="1" applyFill="1" applyBorder="1" applyAlignment="1">
      <alignment horizontal="left"/>
    </xf>
    <xf numFmtId="9" fontId="3" fillId="5" borderId="0" xfId="3" applyFont="1" applyFill="1" applyAlignment="1">
      <alignment horizontal="right"/>
    </xf>
    <xf numFmtId="213" fontId="3" fillId="5" borderId="4" xfId="0" applyNumberFormat="1" applyFont="1" applyFill="1" applyBorder="1" applyAlignment="1">
      <alignment horizontal="right"/>
    </xf>
    <xf numFmtId="0" fontId="3" fillId="5" borderId="15" xfId="0" applyFont="1" applyFill="1" applyBorder="1" applyAlignment="1">
      <alignment horizontal="left"/>
    </xf>
    <xf numFmtId="9" fontId="3" fillId="5" borderId="5" xfId="3" applyFont="1" applyFill="1" applyBorder="1" applyAlignment="1">
      <alignment horizontal="right"/>
    </xf>
    <xf numFmtId="213" fontId="3" fillId="5" borderId="11" xfId="0" applyNumberFormat="1" applyFont="1" applyFill="1" applyBorder="1" applyAlignment="1">
      <alignment horizontal="right"/>
    </xf>
    <xf numFmtId="0" fontId="3" fillId="2" borderId="0" xfId="0" applyFont="1" applyFill="1" applyAlignment="1">
      <alignment horizontal="centerContinuous"/>
    </xf>
    <xf numFmtId="0" fontId="8" fillId="5" borderId="0" xfId="0" applyFont="1" applyFill="1" applyAlignment="1">
      <alignment horizontal="centerContinuous"/>
    </xf>
    <xf numFmtId="0" fontId="68" fillId="2" borderId="0" xfId="0" applyFont="1" applyFill="1"/>
    <xf numFmtId="200" fontId="93" fillId="2" borderId="0" xfId="8" applyNumberFormat="1" applyFont="1" applyFill="1" applyAlignment="1">
      <alignment vertical="center"/>
    </xf>
    <xf numFmtId="0" fontId="67" fillId="2" borderId="1" xfId="0" applyFont="1" applyFill="1" applyBorder="1" applyAlignment="1">
      <alignment horizontal="center"/>
    </xf>
    <xf numFmtId="0" fontId="67" fillId="2" borderId="2" xfId="0" applyFont="1" applyFill="1" applyBorder="1" applyAlignment="1">
      <alignment horizontal="right"/>
    </xf>
    <xf numFmtId="0" fontId="67" fillId="2" borderId="3" xfId="0" applyFont="1" applyFill="1" applyBorder="1" applyAlignment="1">
      <alignment horizontal="right"/>
    </xf>
    <xf numFmtId="0" fontId="68" fillId="2" borderId="14" xfId="0" applyFont="1" applyFill="1" applyBorder="1" applyAlignment="1">
      <alignment horizontal="center"/>
    </xf>
    <xf numFmtId="214" fontId="68" fillId="2" borderId="0" xfId="0" applyNumberFormat="1" applyFont="1" applyFill="1" applyAlignment="1">
      <alignment horizontal="right"/>
    </xf>
    <xf numFmtId="168" fontId="68" fillId="2" borderId="4" xfId="3" applyNumberFormat="1" applyFont="1" applyFill="1" applyBorder="1" applyAlignment="1">
      <alignment horizontal="right"/>
    </xf>
    <xf numFmtId="0" fontId="68" fillId="2" borderId="15" xfId="0" applyFont="1" applyFill="1" applyBorder="1" applyAlignment="1">
      <alignment horizontal="center"/>
    </xf>
    <xf numFmtId="214" fontId="68" fillId="2" borderId="5" xfId="0" applyNumberFormat="1" applyFont="1" applyFill="1" applyBorder="1" applyAlignment="1">
      <alignment horizontal="right"/>
    </xf>
    <xf numFmtId="168" fontId="68" fillId="2" borderId="11" xfId="3" applyNumberFormat="1" applyFont="1" applyFill="1" applyBorder="1" applyAlignment="1">
      <alignment horizontal="right"/>
    </xf>
    <xf numFmtId="0" fontId="76" fillId="2" borderId="0" xfId="0" applyFont="1" applyFill="1"/>
    <xf numFmtId="214" fontId="87" fillId="0" borderId="0" xfId="0" applyNumberFormat="1" applyFont="1"/>
    <xf numFmtId="0" fontId="68" fillId="0" borderId="36" xfId="0" applyFont="1" applyBorder="1" applyAlignment="1">
      <alignment horizontal="center"/>
    </xf>
    <xf numFmtId="0" fontId="0" fillId="0" borderId="30" xfId="0" applyBorder="1"/>
    <xf numFmtId="0" fontId="26" fillId="0" borderId="0" xfId="0" applyFont="1" applyAlignment="1">
      <alignment horizontal="left" vertical="top" wrapText="1"/>
    </xf>
    <xf numFmtId="0" fontId="3" fillId="2" borderId="0" xfId="0" applyFont="1" applyFill="1"/>
    <xf numFmtId="0" fontId="3" fillId="0" borderId="0" xfId="0" quotePrefix="1" applyFont="1" applyAlignment="1">
      <alignment horizontal="left" vertical="top" wrapText="1"/>
    </xf>
    <xf numFmtId="14" fontId="3" fillId="0" borderId="0" xfId="0" applyNumberFormat="1" applyFont="1" applyAlignment="1">
      <alignment horizontal="center"/>
    </xf>
    <xf numFmtId="0" fontId="91" fillId="0" borderId="6" xfId="0" applyFont="1" applyBorder="1" applyAlignment="1">
      <alignment horizontal="center"/>
    </xf>
    <xf numFmtId="0" fontId="0" fillId="0" borderId="6" xfId="0" applyBorder="1"/>
    <xf numFmtId="0" fontId="12" fillId="0" borderId="0" xfId="0" quotePrefix="1" applyFont="1" applyAlignment="1">
      <alignment horizontal="left" vertical="top" wrapText="1"/>
    </xf>
    <xf numFmtId="0" fontId="12" fillId="0" borderId="0" xfId="0" quotePrefix="1" applyFont="1" applyAlignment="1">
      <alignment horizontal="left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4" fillId="0" borderId="12" xfId="0" applyFont="1" applyBorder="1" applyAlignment="1">
      <alignment horizontal="center"/>
    </xf>
    <xf numFmtId="0" fontId="0" fillId="0" borderId="3" xfId="0" applyBorder="1"/>
  </cellXfs>
  <cellStyles count="12">
    <cellStyle name="Comma" xfId="1" builtinId="3"/>
    <cellStyle name="Comma 2" xfId="7" xr:uid="{00000000-0005-0000-0000-000007000000}"/>
    <cellStyle name="Comma 3" xfId="10" xr:uid="{00000000-0005-0000-0000-00000A000000}"/>
    <cellStyle name="Comma 4" xfId="9" xr:uid="{00000000-0005-0000-0000-000009000000}"/>
    <cellStyle name="Currency" xfId="2" builtinId="4"/>
    <cellStyle name="Hyperlink" xfId="5" builtinId="8"/>
    <cellStyle name="Normal" xfId="0" builtinId="0"/>
    <cellStyle name="Normal 2" xfId="6" xr:uid="{00000000-0005-0000-0000-000006000000}"/>
    <cellStyle name="Normal 3" xfId="8" xr:uid="{00000000-0005-0000-0000-000008000000}"/>
    <cellStyle name="Normal 4" xfId="11" xr:uid="{00000000-0005-0000-0000-00000B000000}"/>
    <cellStyle name="Normal_6" xfId="4" xr:uid="{00000000-0005-0000-0000-000004000000}"/>
    <cellStyle name="Percent" xfId="3" builtinId="5"/>
  </cellStyles>
  <dxfs count="32"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  <dxf>
      <fill>
        <patternFill>
          <bgColor auto="1"/>
        </patternFill>
      </fill>
    </dxf>
    <dxf>
      <font>
        <color auto="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v>1-month Term SOFR</c:v>
          </c:tx>
          <c:spPr>
            <a:ln>
              <a:solidFill>
                <a:srgbClr val="004578"/>
              </a:solidFill>
              <a:prstDash val="solid"/>
            </a:ln>
          </c:spPr>
          <c:marker>
            <c:symbol val="none"/>
          </c:marker>
          <c:cat>
            <c:numRef>
              <c:f>SOFR!$O$13:$O$133</c:f>
              <c:numCache>
                <c:formatCode>m/d/yyyy</c:formatCode>
                <c:ptCount val="121"/>
                <c:pt idx="0">
                  <c:v>45957</c:v>
                </c:pt>
                <c:pt idx="1">
                  <c:v>45989</c:v>
                </c:pt>
                <c:pt idx="2">
                  <c:v>46020</c:v>
                </c:pt>
                <c:pt idx="3">
                  <c:v>46049</c:v>
                </c:pt>
                <c:pt idx="4">
                  <c:v>46080</c:v>
                </c:pt>
                <c:pt idx="5">
                  <c:v>46108</c:v>
                </c:pt>
                <c:pt idx="6">
                  <c:v>46139</c:v>
                </c:pt>
                <c:pt idx="7">
                  <c:v>46169</c:v>
                </c:pt>
                <c:pt idx="8">
                  <c:v>46202</c:v>
                </c:pt>
                <c:pt idx="9">
                  <c:v>46230</c:v>
                </c:pt>
                <c:pt idx="10">
                  <c:v>46261</c:v>
                </c:pt>
                <c:pt idx="11">
                  <c:v>46293</c:v>
                </c:pt>
                <c:pt idx="12">
                  <c:v>46322</c:v>
                </c:pt>
                <c:pt idx="13">
                  <c:v>46353</c:v>
                </c:pt>
                <c:pt idx="14">
                  <c:v>46384</c:v>
                </c:pt>
                <c:pt idx="15">
                  <c:v>46414</c:v>
                </c:pt>
                <c:pt idx="16">
                  <c:v>46444</c:v>
                </c:pt>
                <c:pt idx="17">
                  <c:v>46475</c:v>
                </c:pt>
                <c:pt idx="18">
                  <c:v>46504</c:v>
                </c:pt>
                <c:pt idx="19">
                  <c:v>46534</c:v>
                </c:pt>
                <c:pt idx="20">
                  <c:v>46566</c:v>
                </c:pt>
                <c:pt idx="21">
                  <c:v>46595</c:v>
                </c:pt>
                <c:pt idx="22">
                  <c:v>46626</c:v>
                </c:pt>
                <c:pt idx="23">
                  <c:v>46657</c:v>
                </c:pt>
                <c:pt idx="24">
                  <c:v>46687</c:v>
                </c:pt>
                <c:pt idx="25">
                  <c:v>46720</c:v>
                </c:pt>
                <c:pt idx="26">
                  <c:v>46748</c:v>
                </c:pt>
                <c:pt idx="27">
                  <c:v>46779</c:v>
                </c:pt>
                <c:pt idx="28">
                  <c:v>46811</c:v>
                </c:pt>
                <c:pt idx="29">
                  <c:v>46839</c:v>
                </c:pt>
                <c:pt idx="30">
                  <c:v>46870</c:v>
                </c:pt>
                <c:pt idx="31">
                  <c:v>46903</c:v>
                </c:pt>
                <c:pt idx="32">
                  <c:v>46931</c:v>
                </c:pt>
                <c:pt idx="33">
                  <c:v>46961</c:v>
                </c:pt>
                <c:pt idx="34">
                  <c:v>46993</c:v>
                </c:pt>
                <c:pt idx="35">
                  <c:v>47023</c:v>
                </c:pt>
                <c:pt idx="36">
                  <c:v>47053</c:v>
                </c:pt>
                <c:pt idx="37">
                  <c:v>47084</c:v>
                </c:pt>
                <c:pt idx="38">
                  <c:v>47114</c:v>
                </c:pt>
                <c:pt idx="39">
                  <c:v>47147</c:v>
                </c:pt>
                <c:pt idx="40">
                  <c:v>47176</c:v>
                </c:pt>
                <c:pt idx="41">
                  <c:v>47204</c:v>
                </c:pt>
                <c:pt idx="42">
                  <c:v>47235</c:v>
                </c:pt>
                <c:pt idx="43">
                  <c:v>47267</c:v>
                </c:pt>
                <c:pt idx="44">
                  <c:v>47296</c:v>
                </c:pt>
                <c:pt idx="45">
                  <c:v>47326</c:v>
                </c:pt>
                <c:pt idx="46">
                  <c:v>47357</c:v>
                </c:pt>
                <c:pt idx="47">
                  <c:v>47388</c:v>
                </c:pt>
                <c:pt idx="48">
                  <c:v>47420</c:v>
                </c:pt>
                <c:pt idx="49">
                  <c:v>47449</c:v>
                </c:pt>
                <c:pt idx="50">
                  <c:v>47479</c:v>
                </c:pt>
                <c:pt idx="51">
                  <c:v>47511</c:v>
                </c:pt>
                <c:pt idx="52">
                  <c:v>47541</c:v>
                </c:pt>
                <c:pt idx="53">
                  <c:v>47569</c:v>
                </c:pt>
                <c:pt idx="54">
                  <c:v>47602</c:v>
                </c:pt>
                <c:pt idx="55">
                  <c:v>47631</c:v>
                </c:pt>
                <c:pt idx="56">
                  <c:v>47661</c:v>
                </c:pt>
                <c:pt idx="57">
                  <c:v>47693</c:v>
                </c:pt>
                <c:pt idx="58">
                  <c:v>47722</c:v>
                </c:pt>
                <c:pt idx="59">
                  <c:v>47753</c:v>
                </c:pt>
                <c:pt idx="60">
                  <c:v>47784</c:v>
                </c:pt>
                <c:pt idx="61">
                  <c:v>47814</c:v>
                </c:pt>
                <c:pt idx="62">
                  <c:v>47844</c:v>
                </c:pt>
                <c:pt idx="63">
                  <c:v>47875</c:v>
                </c:pt>
                <c:pt idx="64">
                  <c:v>47906</c:v>
                </c:pt>
                <c:pt idx="65">
                  <c:v>47934</c:v>
                </c:pt>
                <c:pt idx="66">
                  <c:v>47966</c:v>
                </c:pt>
                <c:pt idx="67">
                  <c:v>47995</c:v>
                </c:pt>
                <c:pt idx="68">
                  <c:v>48026</c:v>
                </c:pt>
                <c:pt idx="69">
                  <c:v>48057</c:v>
                </c:pt>
                <c:pt idx="70">
                  <c:v>48087</c:v>
                </c:pt>
                <c:pt idx="71">
                  <c:v>48120</c:v>
                </c:pt>
                <c:pt idx="72">
                  <c:v>48148</c:v>
                </c:pt>
                <c:pt idx="73">
                  <c:v>48180</c:v>
                </c:pt>
                <c:pt idx="74">
                  <c:v>48211</c:v>
                </c:pt>
                <c:pt idx="75">
                  <c:v>48240</c:v>
                </c:pt>
                <c:pt idx="76">
                  <c:v>48271</c:v>
                </c:pt>
                <c:pt idx="77">
                  <c:v>48302</c:v>
                </c:pt>
                <c:pt idx="78">
                  <c:v>48331</c:v>
                </c:pt>
                <c:pt idx="79">
                  <c:v>48361</c:v>
                </c:pt>
                <c:pt idx="80">
                  <c:v>48393</c:v>
                </c:pt>
                <c:pt idx="81">
                  <c:v>48422</c:v>
                </c:pt>
                <c:pt idx="82">
                  <c:v>48453</c:v>
                </c:pt>
                <c:pt idx="83">
                  <c:v>48484</c:v>
                </c:pt>
                <c:pt idx="84">
                  <c:v>48514</c:v>
                </c:pt>
                <c:pt idx="85">
                  <c:v>48547</c:v>
                </c:pt>
                <c:pt idx="86">
                  <c:v>48575</c:v>
                </c:pt>
                <c:pt idx="87">
                  <c:v>48606</c:v>
                </c:pt>
                <c:pt idx="88">
                  <c:v>48638</c:v>
                </c:pt>
                <c:pt idx="89">
                  <c:v>48666</c:v>
                </c:pt>
                <c:pt idx="90">
                  <c:v>48696</c:v>
                </c:pt>
                <c:pt idx="91">
                  <c:v>48726</c:v>
                </c:pt>
                <c:pt idx="92">
                  <c:v>48757</c:v>
                </c:pt>
                <c:pt idx="93">
                  <c:v>48787</c:v>
                </c:pt>
                <c:pt idx="94">
                  <c:v>48820</c:v>
                </c:pt>
                <c:pt idx="95">
                  <c:v>48849</c:v>
                </c:pt>
                <c:pt idx="96">
                  <c:v>48879</c:v>
                </c:pt>
                <c:pt idx="97">
                  <c:v>48911</c:v>
                </c:pt>
                <c:pt idx="98">
                  <c:v>48940</c:v>
                </c:pt>
                <c:pt idx="99">
                  <c:v>48971</c:v>
                </c:pt>
                <c:pt idx="100">
                  <c:v>49002</c:v>
                </c:pt>
                <c:pt idx="101">
                  <c:v>49030</c:v>
                </c:pt>
                <c:pt idx="102">
                  <c:v>49061</c:v>
                </c:pt>
                <c:pt idx="103">
                  <c:v>49094</c:v>
                </c:pt>
                <c:pt idx="104">
                  <c:v>49122</c:v>
                </c:pt>
                <c:pt idx="105">
                  <c:v>49152</c:v>
                </c:pt>
                <c:pt idx="106">
                  <c:v>49184</c:v>
                </c:pt>
                <c:pt idx="107">
                  <c:v>49214</c:v>
                </c:pt>
                <c:pt idx="108">
                  <c:v>49244</c:v>
                </c:pt>
                <c:pt idx="109">
                  <c:v>49275</c:v>
                </c:pt>
                <c:pt idx="110">
                  <c:v>49305</c:v>
                </c:pt>
                <c:pt idx="111">
                  <c:v>49338</c:v>
                </c:pt>
                <c:pt idx="112">
                  <c:v>49367</c:v>
                </c:pt>
                <c:pt idx="113">
                  <c:v>49395</c:v>
                </c:pt>
                <c:pt idx="114">
                  <c:v>49426</c:v>
                </c:pt>
                <c:pt idx="115">
                  <c:v>49458</c:v>
                </c:pt>
                <c:pt idx="116">
                  <c:v>49487</c:v>
                </c:pt>
                <c:pt idx="117">
                  <c:v>49517</c:v>
                </c:pt>
                <c:pt idx="118">
                  <c:v>49548</c:v>
                </c:pt>
                <c:pt idx="119">
                  <c:v>49579</c:v>
                </c:pt>
                <c:pt idx="120">
                  <c:v>49611</c:v>
                </c:pt>
              </c:numCache>
            </c:numRef>
          </c:cat>
          <c:val>
            <c:numRef>
              <c:f>SOFR!$P$13:$P$133</c:f>
              <c:numCache>
                <c:formatCode>0.00%</c:formatCode>
                <c:ptCount val="121"/>
                <c:pt idx="0">
                  <c:v>3.99119E-2</c:v>
                </c:pt>
                <c:pt idx="1">
                  <c:v>3.8298899999999997E-2</c:v>
                </c:pt>
                <c:pt idx="2">
                  <c:v>3.7030500000000001E-2</c:v>
                </c:pt>
                <c:pt idx="3">
                  <c:v>3.5638999999999997E-2</c:v>
                </c:pt>
                <c:pt idx="4">
                  <c:v>3.5070700000000003E-2</c:v>
                </c:pt>
                <c:pt idx="5">
                  <c:v>3.3897700000000003E-2</c:v>
                </c:pt>
                <c:pt idx="6">
                  <c:v>3.3702099999999999E-2</c:v>
                </c:pt>
                <c:pt idx="7">
                  <c:v>3.2994099999999998E-2</c:v>
                </c:pt>
                <c:pt idx="8">
                  <c:v>3.1742699999999999E-2</c:v>
                </c:pt>
                <c:pt idx="9">
                  <c:v>3.1744099999999997E-2</c:v>
                </c:pt>
                <c:pt idx="10">
                  <c:v>3.11817E-2</c:v>
                </c:pt>
                <c:pt idx="11">
                  <c:v>3.0239700000000001E-2</c:v>
                </c:pt>
                <c:pt idx="12">
                  <c:v>3.0241000000000001E-2</c:v>
                </c:pt>
                <c:pt idx="13">
                  <c:v>3.0004400000000001E-2</c:v>
                </c:pt>
                <c:pt idx="14">
                  <c:v>2.9629900000000001E-2</c:v>
                </c:pt>
                <c:pt idx="15">
                  <c:v>2.9628700000000001E-2</c:v>
                </c:pt>
                <c:pt idx="16">
                  <c:v>2.9614600000000001E-2</c:v>
                </c:pt>
                <c:pt idx="17">
                  <c:v>2.9625700000000001E-2</c:v>
                </c:pt>
                <c:pt idx="18">
                  <c:v>2.96808E-2</c:v>
                </c:pt>
                <c:pt idx="19">
                  <c:v>2.9757499999999999E-2</c:v>
                </c:pt>
                <c:pt idx="20">
                  <c:v>2.9842500000000001E-2</c:v>
                </c:pt>
                <c:pt idx="21">
                  <c:v>2.99396E-2</c:v>
                </c:pt>
                <c:pt idx="22">
                  <c:v>3.0053400000000001E-2</c:v>
                </c:pt>
                <c:pt idx="23">
                  <c:v>3.0177099999999998E-2</c:v>
                </c:pt>
                <c:pt idx="24">
                  <c:v>3.03211E-2</c:v>
                </c:pt>
                <c:pt idx="25">
                  <c:v>3.0459400000000001E-2</c:v>
                </c:pt>
                <c:pt idx="26">
                  <c:v>3.0589100000000001E-2</c:v>
                </c:pt>
                <c:pt idx="27">
                  <c:v>3.0731999999999999E-2</c:v>
                </c:pt>
                <c:pt idx="28">
                  <c:v>3.0865E-2</c:v>
                </c:pt>
                <c:pt idx="29">
                  <c:v>3.0997500000000001E-2</c:v>
                </c:pt>
                <c:pt idx="30">
                  <c:v>3.1143299999999999E-2</c:v>
                </c:pt>
                <c:pt idx="31">
                  <c:v>3.1283400000000003E-2</c:v>
                </c:pt>
                <c:pt idx="32">
                  <c:v>3.1404599999999998E-2</c:v>
                </c:pt>
                <c:pt idx="33">
                  <c:v>3.1545200000000002E-2</c:v>
                </c:pt>
                <c:pt idx="34">
                  <c:v>3.1683700000000002E-2</c:v>
                </c:pt>
                <c:pt idx="35">
                  <c:v>3.1813000000000001E-2</c:v>
                </c:pt>
                <c:pt idx="36">
                  <c:v>3.1949199999999997E-2</c:v>
                </c:pt>
                <c:pt idx="37">
                  <c:v>3.2081600000000002E-2</c:v>
                </c:pt>
                <c:pt idx="38">
                  <c:v>3.22232E-2</c:v>
                </c:pt>
                <c:pt idx="39">
                  <c:v>3.2355000000000002E-2</c:v>
                </c:pt>
                <c:pt idx="40">
                  <c:v>3.24722E-2</c:v>
                </c:pt>
                <c:pt idx="41">
                  <c:v>3.2602199999999998E-2</c:v>
                </c:pt>
                <c:pt idx="42">
                  <c:v>3.2736800000000003E-2</c:v>
                </c:pt>
                <c:pt idx="43">
                  <c:v>3.2867399999999998E-2</c:v>
                </c:pt>
                <c:pt idx="44">
                  <c:v>3.29845E-2</c:v>
                </c:pt>
                <c:pt idx="45">
                  <c:v>3.31119E-2</c:v>
                </c:pt>
                <c:pt idx="46">
                  <c:v>3.3238900000000002E-2</c:v>
                </c:pt>
                <c:pt idx="47">
                  <c:v>3.3368399999999999E-2</c:v>
                </c:pt>
                <c:pt idx="48">
                  <c:v>3.3494000000000003E-2</c:v>
                </c:pt>
                <c:pt idx="49">
                  <c:v>3.3607699999999997E-2</c:v>
                </c:pt>
                <c:pt idx="50">
                  <c:v>3.3737000000000003E-2</c:v>
                </c:pt>
                <c:pt idx="51">
                  <c:v>3.3864199999999997E-2</c:v>
                </c:pt>
                <c:pt idx="52">
                  <c:v>3.39765E-2</c:v>
                </c:pt>
                <c:pt idx="53">
                  <c:v>3.4110399999999999E-2</c:v>
                </c:pt>
                <c:pt idx="54">
                  <c:v>3.4236200000000001E-2</c:v>
                </c:pt>
                <c:pt idx="55">
                  <c:v>3.43609E-2</c:v>
                </c:pt>
                <c:pt idx="56">
                  <c:v>3.4490300000000002E-2</c:v>
                </c:pt>
                <c:pt idx="57">
                  <c:v>3.4621300000000001E-2</c:v>
                </c:pt>
                <c:pt idx="58">
                  <c:v>3.4743999999999997E-2</c:v>
                </c:pt>
                <c:pt idx="59">
                  <c:v>3.4875700000000003E-2</c:v>
                </c:pt>
                <c:pt idx="60">
                  <c:v>3.50117E-2</c:v>
                </c:pt>
                <c:pt idx="61">
                  <c:v>3.51314E-2</c:v>
                </c:pt>
                <c:pt idx="62">
                  <c:v>3.5261599999999997E-2</c:v>
                </c:pt>
                <c:pt idx="63">
                  <c:v>3.5391300000000001E-2</c:v>
                </c:pt>
                <c:pt idx="64">
                  <c:v>3.5508600000000001E-2</c:v>
                </c:pt>
                <c:pt idx="65">
                  <c:v>3.5639499999999998E-2</c:v>
                </c:pt>
                <c:pt idx="66">
                  <c:v>3.5763000000000003E-2</c:v>
                </c:pt>
                <c:pt idx="67">
                  <c:v>3.5884800000000001E-2</c:v>
                </c:pt>
                <c:pt idx="68">
                  <c:v>3.601E-2</c:v>
                </c:pt>
                <c:pt idx="69">
                  <c:v>3.6134300000000001E-2</c:v>
                </c:pt>
                <c:pt idx="70">
                  <c:v>3.6261300000000003E-2</c:v>
                </c:pt>
                <c:pt idx="71">
                  <c:v>3.6380299999999997E-2</c:v>
                </c:pt>
                <c:pt idx="72">
                  <c:v>3.6497700000000001E-2</c:v>
                </c:pt>
                <c:pt idx="73">
                  <c:v>3.6618499999999998E-2</c:v>
                </c:pt>
                <c:pt idx="74">
                  <c:v>3.6738199999999999E-2</c:v>
                </c:pt>
                <c:pt idx="75">
                  <c:v>3.6849399999999997E-2</c:v>
                </c:pt>
                <c:pt idx="76">
                  <c:v>3.6967399999999997E-2</c:v>
                </c:pt>
                <c:pt idx="77">
                  <c:v>3.7084399999999997E-2</c:v>
                </c:pt>
                <c:pt idx="78">
                  <c:v>3.7189300000000002E-2</c:v>
                </c:pt>
                <c:pt idx="79">
                  <c:v>3.7308399999999999E-2</c:v>
                </c:pt>
                <c:pt idx="80">
                  <c:v>3.7418899999999998E-2</c:v>
                </c:pt>
                <c:pt idx="81">
                  <c:v>3.7528800000000001E-2</c:v>
                </c:pt>
                <c:pt idx="82">
                  <c:v>3.7641300000000003E-2</c:v>
                </c:pt>
                <c:pt idx="83">
                  <c:v>3.7749199999999997E-2</c:v>
                </c:pt>
                <c:pt idx="84">
                  <c:v>3.7867699999999997E-2</c:v>
                </c:pt>
                <c:pt idx="85">
                  <c:v>3.7973899999999998E-2</c:v>
                </c:pt>
                <c:pt idx="86">
                  <c:v>3.8077E-2</c:v>
                </c:pt>
                <c:pt idx="87">
                  <c:v>3.8190399999999999E-2</c:v>
                </c:pt>
                <c:pt idx="88">
                  <c:v>3.82879E-2</c:v>
                </c:pt>
                <c:pt idx="89">
                  <c:v>3.8397599999999997E-2</c:v>
                </c:pt>
                <c:pt idx="90">
                  <c:v>3.84988E-2</c:v>
                </c:pt>
                <c:pt idx="91">
                  <c:v>3.8607200000000001E-2</c:v>
                </c:pt>
                <c:pt idx="92">
                  <c:v>3.8711099999999998E-2</c:v>
                </c:pt>
                <c:pt idx="93">
                  <c:v>3.8826399999999997E-2</c:v>
                </c:pt>
                <c:pt idx="94">
                  <c:v>3.8932599999999998E-2</c:v>
                </c:pt>
                <c:pt idx="95">
                  <c:v>3.9028399999999998E-2</c:v>
                </c:pt>
                <c:pt idx="96">
                  <c:v>3.9138899999999997E-2</c:v>
                </c:pt>
                <c:pt idx="97">
                  <c:v>3.9240400000000002E-2</c:v>
                </c:pt>
                <c:pt idx="98">
                  <c:v>3.9342799999999997E-2</c:v>
                </c:pt>
                <c:pt idx="99">
                  <c:v>3.9447900000000001E-2</c:v>
                </c:pt>
                <c:pt idx="100">
                  <c:v>3.9541E-2</c:v>
                </c:pt>
                <c:pt idx="101">
                  <c:v>3.96467E-2</c:v>
                </c:pt>
                <c:pt idx="102">
                  <c:v>3.9758399999999999E-2</c:v>
                </c:pt>
                <c:pt idx="103">
                  <c:v>3.9860899999999998E-2</c:v>
                </c:pt>
                <c:pt idx="104">
                  <c:v>3.9950100000000002E-2</c:v>
                </c:pt>
                <c:pt idx="105">
                  <c:v>4.00574E-2</c:v>
                </c:pt>
                <c:pt idx="106">
                  <c:v>4.0159199999999999E-2</c:v>
                </c:pt>
                <c:pt idx="107">
                  <c:v>4.0253999999999998E-2</c:v>
                </c:pt>
                <c:pt idx="108">
                  <c:v>4.0356200000000002E-2</c:v>
                </c:pt>
                <c:pt idx="109">
                  <c:v>4.0453599999999999E-2</c:v>
                </c:pt>
                <c:pt idx="110">
                  <c:v>4.0562899999999999E-2</c:v>
                </c:pt>
                <c:pt idx="111">
                  <c:v>4.0658199999999999E-2</c:v>
                </c:pt>
                <c:pt idx="112">
                  <c:v>4.0744000000000002E-2</c:v>
                </c:pt>
                <c:pt idx="113">
                  <c:v>4.0845800000000002E-2</c:v>
                </c:pt>
                <c:pt idx="114">
                  <c:v>4.0949100000000002E-2</c:v>
                </c:pt>
                <c:pt idx="115">
                  <c:v>4.1047300000000002E-2</c:v>
                </c:pt>
                <c:pt idx="116">
                  <c:v>4.1135600000000001E-2</c:v>
                </c:pt>
                <c:pt idx="117">
                  <c:v>4.1234600000000003E-2</c:v>
                </c:pt>
                <c:pt idx="118">
                  <c:v>4.1332500000000001E-2</c:v>
                </c:pt>
                <c:pt idx="119">
                  <c:v>4.1433900000000003E-2</c:v>
                </c:pt>
                <c:pt idx="120">
                  <c:v>4.1529799999999999E-2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CA0-4840-815E-42C40DFB009D}"/>
            </c:ext>
          </c:extLst>
        </c:ser>
        <c:ser>
          <c:idx val="1"/>
          <c:order val="1"/>
          <c:tx>
            <c:v>3-month Term SOFR</c:v>
          </c:tx>
          <c:spPr>
            <a:ln>
              <a:solidFill>
                <a:srgbClr val="007CBA"/>
              </a:solidFill>
              <a:prstDash val="solid"/>
            </a:ln>
          </c:spPr>
          <c:marker>
            <c:symbol val="none"/>
          </c:marker>
          <c:cat>
            <c:numRef>
              <c:f>SOFR!$O$13:$O$133</c:f>
              <c:numCache>
                <c:formatCode>m/d/yyyy</c:formatCode>
                <c:ptCount val="121"/>
                <c:pt idx="0">
                  <c:v>45957</c:v>
                </c:pt>
                <c:pt idx="1">
                  <c:v>45989</c:v>
                </c:pt>
                <c:pt idx="2">
                  <c:v>46020</c:v>
                </c:pt>
                <c:pt idx="3">
                  <c:v>46049</c:v>
                </c:pt>
                <c:pt idx="4">
                  <c:v>46080</c:v>
                </c:pt>
                <c:pt idx="5">
                  <c:v>46108</c:v>
                </c:pt>
                <c:pt idx="6">
                  <c:v>46139</c:v>
                </c:pt>
                <c:pt idx="7">
                  <c:v>46169</c:v>
                </c:pt>
                <c:pt idx="8">
                  <c:v>46202</c:v>
                </c:pt>
                <c:pt idx="9">
                  <c:v>46230</c:v>
                </c:pt>
                <c:pt idx="10">
                  <c:v>46261</c:v>
                </c:pt>
                <c:pt idx="11">
                  <c:v>46293</c:v>
                </c:pt>
                <c:pt idx="12">
                  <c:v>46322</c:v>
                </c:pt>
                <c:pt idx="13">
                  <c:v>46353</c:v>
                </c:pt>
                <c:pt idx="14">
                  <c:v>46384</c:v>
                </c:pt>
                <c:pt idx="15">
                  <c:v>46414</c:v>
                </c:pt>
                <c:pt idx="16">
                  <c:v>46444</c:v>
                </c:pt>
                <c:pt idx="17">
                  <c:v>46475</c:v>
                </c:pt>
                <c:pt idx="18">
                  <c:v>46504</c:v>
                </c:pt>
                <c:pt idx="19">
                  <c:v>46534</c:v>
                </c:pt>
                <c:pt idx="20">
                  <c:v>46566</c:v>
                </c:pt>
                <c:pt idx="21">
                  <c:v>46595</c:v>
                </c:pt>
                <c:pt idx="22">
                  <c:v>46626</c:v>
                </c:pt>
                <c:pt idx="23">
                  <c:v>46657</c:v>
                </c:pt>
                <c:pt idx="24">
                  <c:v>46687</c:v>
                </c:pt>
                <c:pt idx="25">
                  <c:v>46720</c:v>
                </c:pt>
                <c:pt idx="26">
                  <c:v>46748</c:v>
                </c:pt>
                <c:pt idx="27">
                  <c:v>46779</c:v>
                </c:pt>
                <c:pt idx="28">
                  <c:v>46811</c:v>
                </c:pt>
                <c:pt idx="29">
                  <c:v>46839</c:v>
                </c:pt>
                <c:pt idx="30">
                  <c:v>46870</c:v>
                </c:pt>
                <c:pt idx="31">
                  <c:v>46903</c:v>
                </c:pt>
                <c:pt idx="32">
                  <c:v>46931</c:v>
                </c:pt>
                <c:pt idx="33">
                  <c:v>46961</c:v>
                </c:pt>
                <c:pt idx="34">
                  <c:v>46993</c:v>
                </c:pt>
                <c:pt idx="35">
                  <c:v>47023</c:v>
                </c:pt>
                <c:pt idx="36">
                  <c:v>47053</c:v>
                </c:pt>
                <c:pt idx="37">
                  <c:v>47084</c:v>
                </c:pt>
                <c:pt idx="38">
                  <c:v>47114</c:v>
                </c:pt>
                <c:pt idx="39">
                  <c:v>47147</c:v>
                </c:pt>
                <c:pt idx="40">
                  <c:v>47176</c:v>
                </c:pt>
                <c:pt idx="41">
                  <c:v>47204</c:v>
                </c:pt>
                <c:pt idx="42">
                  <c:v>47235</c:v>
                </c:pt>
                <c:pt idx="43">
                  <c:v>47267</c:v>
                </c:pt>
                <c:pt idx="44">
                  <c:v>47296</c:v>
                </c:pt>
                <c:pt idx="45">
                  <c:v>47326</c:v>
                </c:pt>
                <c:pt idx="46">
                  <c:v>47357</c:v>
                </c:pt>
                <c:pt idx="47">
                  <c:v>47388</c:v>
                </c:pt>
                <c:pt idx="48">
                  <c:v>47420</c:v>
                </c:pt>
                <c:pt idx="49">
                  <c:v>47449</c:v>
                </c:pt>
                <c:pt idx="50">
                  <c:v>47479</c:v>
                </c:pt>
                <c:pt idx="51">
                  <c:v>47511</c:v>
                </c:pt>
                <c:pt idx="52">
                  <c:v>47541</c:v>
                </c:pt>
                <c:pt idx="53">
                  <c:v>47569</c:v>
                </c:pt>
                <c:pt idx="54">
                  <c:v>47602</c:v>
                </c:pt>
                <c:pt idx="55">
                  <c:v>47631</c:v>
                </c:pt>
                <c:pt idx="56">
                  <c:v>47661</c:v>
                </c:pt>
                <c:pt idx="57">
                  <c:v>47693</c:v>
                </c:pt>
                <c:pt idx="58">
                  <c:v>47722</c:v>
                </c:pt>
                <c:pt idx="59">
                  <c:v>47753</c:v>
                </c:pt>
                <c:pt idx="60">
                  <c:v>47784</c:v>
                </c:pt>
                <c:pt idx="61">
                  <c:v>47814</c:v>
                </c:pt>
                <c:pt idx="62">
                  <c:v>47844</c:v>
                </c:pt>
                <c:pt idx="63">
                  <c:v>47875</c:v>
                </c:pt>
                <c:pt idx="64">
                  <c:v>47906</c:v>
                </c:pt>
                <c:pt idx="65">
                  <c:v>47934</c:v>
                </c:pt>
                <c:pt idx="66">
                  <c:v>47966</c:v>
                </c:pt>
                <c:pt idx="67">
                  <c:v>47995</c:v>
                </c:pt>
                <c:pt idx="68">
                  <c:v>48026</c:v>
                </c:pt>
                <c:pt idx="69">
                  <c:v>48057</c:v>
                </c:pt>
                <c:pt idx="70">
                  <c:v>48087</c:v>
                </c:pt>
                <c:pt idx="71">
                  <c:v>48120</c:v>
                </c:pt>
                <c:pt idx="72">
                  <c:v>48148</c:v>
                </c:pt>
                <c:pt idx="73">
                  <c:v>48180</c:v>
                </c:pt>
                <c:pt idx="74">
                  <c:v>48211</c:v>
                </c:pt>
                <c:pt idx="75">
                  <c:v>48240</c:v>
                </c:pt>
                <c:pt idx="76">
                  <c:v>48271</c:v>
                </c:pt>
                <c:pt idx="77">
                  <c:v>48302</c:v>
                </c:pt>
                <c:pt idx="78">
                  <c:v>48331</c:v>
                </c:pt>
                <c:pt idx="79">
                  <c:v>48361</c:v>
                </c:pt>
                <c:pt idx="80">
                  <c:v>48393</c:v>
                </c:pt>
                <c:pt idx="81">
                  <c:v>48422</c:v>
                </c:pt>
                <c:pt idx="82">
                  <c:v>48453</c:v>
                </c:pt>
                <c:pt idx="83">
                  <c:v>48484</c:v>
                </c:pt>
                <c:pt idx="84">
                  <c:v>48514</c:v>
                </c:pt>
                <c:pt idx="85">
                  <c:v>48547</c:v>
                </c:pt>
                <c:pt idx="86">
                  <c:v>48575</c:v>
                </c:pt>
                <c:pt idx="87">
                  <c:v>48606</c:v>
                </c:pt>
                <c:pt idx="88">
                  <c:v>48638</c:v>
                </c:pt>
                <c:pt idx="89">
                  <c:v>48666</c:v>
                </c:pt>
                <c:pt idx="90">
                  <c:v>48696</c:v>
                </c:pt>
                <c:pt idx="91">
                  <c:v>48726</c:v>
                </c:pt>
                <c:pt idx="92">
                  <c:v>48757</c:v>
                </c:pt>
                <c:pt idx="93">
                  <c:v>48787</c:v>
                </c:pt>
                <c:pt idx="94">
                  <c:v>48820</c:v>
                </c:pt>
                <c:pt idx="95">
                  <c:v>48849</c:v>
                </c:pt>
                <c:pt idx="96">
                  <c:v>48879</c:v>
                </c:pt>
                <c:pt idx="97">
                  <c:v>48911</c:v>
                </c:pt>
                <c:pt idx="98">
                  <c:v>48940</c:v>
                </c:pt>
                <c:pt idx="99">
                  <c:v>48971</c:v>
                </c:pt>
                <c:pt idx="100">
                  <c:v>49002</c:v>
                </c:pt>
                <c:pt idx="101">
                  <c:v>49030</c:v>
                </c:pt>
                <c:pt idx="102">
                  <c:v>49061</c:v>
                </c:pt>
                <c:pt idx="103">
                  <c:v>49094</c:v>
                </c:pt>
                <c:pt idx="104">
                  <c:v>49122</c:v>
                </c:pt>
                <c:pt idx="105">
                  <c:v>49152</c:v>
                </c:pt>
                <c:pt idx="106">
                  <c:v>49184</c:v>
                </c:pt>
                <c:pt idx="107">
                  <c:v>49214</c:v>
                </c:pt>
                <c:pt idx="108">
                  <c:v>49244</c:v>
                </c:pt>
                <c:pt idx="109">
                  <c:v>49275</c:v>
                </c:pt>
                <c:pt idx="110">
                  <c:v>49305</c:v>
                </c:pt>
                <c:pt idx="111">
                  <c:v>49338</c:v>
                </c:pt>
                <c:pt idx="112">
                  <c:v>49367</c:v>
                </c:pt>
                <c:pt idx="113">
                  <c:v>49395</c:v>
                </c:pt>
                <c:pt idx="114">
                  <c:v>49426</c:v>
                </c:pt>
                <c:pt idx="115">
                  <c:v>49458</c:v>
                </c:pt>
                <c:pt idx="116">
                  <c:v>49487</c:v>
                </c:pt>
                <c:pt idx="117">
                  <c:v>49517</c:v>
                </c:pt>
                <c:pt idx="118">
                  <c:v>49548</c:v>
                </c:pt>
                <c:pt idx="119">
                  <c:v>49579</c:v>
                </c:pt>
                <c:pt idx="120">
                  <c:v>49611</c:v>
                </c:pt>
              </c:numCache>
            </c:numRef>
          </c:cat>
          <c:val>
            <c:numRef>
              <c:f>SOFR!$Q$13:$Q$133</c:f>
              <c:numCache>
                <c:formatCode>0.00%</c:formatCode>
                <c:ptCount val="121"/>
                <c:pt idx="0">
                  <c:v>3.8586000000000002E-2</c:v>
                </c:pt>
                <c:pt idx="1">
                  <c:v>3.7103900000000002E-2</c:v>
                </c:pt>
                <c:pt idx="2">
                  <c:v>3.5993600000000001E-2</c:v>
                </c:pt>
                <c:pt idx="3">
                  <c:v>3.49637E-2</c:v>
                </c:pt>
                <c:pt idx="4">
                  <c:v>3.4297300000000003E-2</c:v>
                </c:pt>
                <c:pt idx="5">
                  <c:v>3.3615899999999997E-2</c:v>
                </c:pt>
                <c:pt idx="6">
                  <c:v>3.2932200000000002E-2</c:v>
                </c:pt>
                <c:pt idx="7">
                  <c:v>3.2279200000000001E-2</c:v>
                </c:pt>
                <c:pt idx="8">
                  <c:v>3.1615999999999998E-2</c:v>
                </c:pt>
                <c:pt idx="9">
                  <c:v>3.1156099999999999E-2</c:v>
                </c:pt>
                <c:pt idx="10">
                  <c:v>3.0646900000000001E-2</c:v>
                </c:pt>
                <c:pt idx="11">
                  <c:v>3.0236300000000001E-2</c:v>
                </c:pt>
                <c:pt idx="12">
                  <c:v>3.0038100000000002E-2</c:v>
                </c:pt>
                <c:pt idx="13">
                  <c:v>2.9831300000000002E-2</c:v>
                </c:pt>
                <c:pt idx="14">
                  <c:v>2.9697899999999999E-2</c:v>
                </c:pt>
                <c:pt idx="15">
                  <c:v>2.9694600000000002E-2</c:v>
                </c:pt>
                <c:pt idx="16">
                  <c:v>2.971E-2</c:v>
                </c:pt>
                <c:pt idx="17">
                  <c:v>2.97656E-2</c:v>
                </c:pt>
                <c:pt idx="18">
                  <c:v>2.9832999999999998E-2</c:v>
                </c:pt>
                <c:pt idx="19">
                  <c:v>2.9920700000000001E-2</c:v>
                </c:pt>
                <c:pt idx="20">
                  <c:v>3.0025199999999998E-2</c:v>
                </c:pt>
                <c:pt idx="21">
                  <c:v>3.01324E-2</c:v>
                </c:pt>
                <c:pt idx="22">
                  <c:v>3.02662E-2</c:v>
                </c:pt>
                <c:pt idx="23">
                  <c:v>3.03913E-2</c:v>
                </c:pt>
                <c:pt idx="24">
                  <c:v>3.05303E-2</c:v>
                </c:pt>
                <c:pt idx="25">
                  <c:v>3.0679700000000001E-2</c:v>
                </c:pt>
                <c:pt idx="26">
                  <c:v>3.0802599999999999E-2</c:v>
                </c:pt>
                <c:pt idx="27">
                  <c:v>3.0942500000000001E-2</c:v>
                </c:pt>
                <c:pt idx="28">
                  <c:v>3.1090199999999998E-2</c:v>
                </c:pt>
                <c:pt idx="29">
                  <c:v>3.1216000000000001E-2</c:v>
                </c:pt>
                <c:pt idx="30">
                  <c:v>3.1351499999999997E-2</c:v>
                </c:pt>
                <c:pt idx="31">
                  <c:v>3.15029E-2</c:v>
                </c:pt>
                <c:pt idx="32">
                  <c:v>3.1628099999999999E-2</c:v>
                </c:pt>
                <c:pt idx="33">
                  <c:v>3.1761999999999999E-2</c:v>
                </c:pt>
                <c:pt idx="34">
                  <c:v>3.1904500000000002E-2</c:v>
                </c:pt>
                <c:pt idx="35">
                  <c:v>3.2034E-2</c:v>
                </c:pt>
                <c:pt idx="36">
                  <c:v>3.2177200000000003E-2</c:v>
                </c:pt>
                <c:pt idx="37">
                  <c:v>3.2305800000000003E-2</c:v>
                </c:pt>
                <c:pt idx="38">
                  <c:v>3.2428999999999999E-2</c:v>
                </c:pt>
                <c:pt idx="39">
                  <c:v>3.2575E-2</c:v>
                </c:pt>
                <c:pt idx="40">
                  <c:v>3.2699100000000002E-2</c:v>
                </c:pt>
                <c:pt idx="41">
                  <c:v>3.2821700000000002E-2</c:v>
                </c:pt>
                <c:pt idx="42">
                  <c:v>3.29488E-2</c:v>
                </c:pt>
                <c:pt idx="43">
                  <c:v>3.3086299999999999E-2</c:v>
                </c:pt>
                <c:pt idx="44">
                  <c:v>3.3206600000000003E-2</c:v>
                </c:pt>
                <c:pt idx="45">
                  <c:v>3.33373E-2</c:v>
                </c:pt>
                <c:pt idx="46">
                  <c:v>3.3456899999999998E-2</c:v>
                </c:pt>
                <c:pt idx="47">
                  <c:v>3.3579499999999998E-2</c:v>
                </c:pt>
                <c:pt idx="48">
                  <c:v>3.37135E-2</c:v>
                </c:pt>
                <c:pt idx="49">
                  <c:v>3.3832099999999997E-2</c:v>
                </c:pt>
                <c:pt idx="50">
                  <c:v>3.3948100000000002E-2</c:v>
                </c:pt>
                <c:pt idx="51">
                  <c:v>3.4084000000000003E-2</c:v>
                </c:pt>
                <c:pt idx="52">
                  <c:v>3.4204900000000003E-2</c:v>
                </c:pt>
                <c:pt idx="53">
                  <c:v>3.4329100000000001E-2</c:v>
                </c:pt>
                <c:pt idx="54">
                  <c:v>3.4463800000000003E-2</c:v>
                </c:pt>
                <c:pt idx="55">
                  <c:v>3.4589700000000001E-2</c:v>
                </c:pt>
                <c:pt idx="56">
                  <c:v>3.4716799999999999E-2</c:v>
                </c:pt>
                <c:pt idx="57">
                  <c:v>3.4853000000000002E-2</c:v>
                </c:pt>
                <c:pt idx="58">
                  <c:v>3.4976899999999998E-2</c:v>
                </c:pt>
                <c:pt idx="59">
                  <c:v>3.5105600000000001E-2</c:v>
                </c:pt>
                <c:pt idx="60">
                  <c:v>3.5241700000000001E-2</c:v>
                </c:pt>
                <c:pt idx="61">
                  <c:v>3.5368799999999999E-2</c:v>
                </c:pt>
                <c:pt idx="62">
                  <c:v>3.5487499999999998E-2</c:v>
                </c:pt>
                <c:pt idx="63">
                  <c:v>3.5620899999999997E-2</c:v>
                </c:pt>
                <c:pt idx="64">
                  <c:v>3.57419E-2</c:v>
                </c:pt>
                <c:pt idx="65">
                  <c:v>3.5868799999999999E-2</c:v>
                </c:pt>
                <c:pt idx="66">
                  <c:v>3.5996E-2</c:v>
                </c:pt>
                <c:pt idx="67">
                  <c:v>3.61176E-2</c:v>
                </c:pt>
                <c:pt idx="68">
                  <c:v>3.6250400000000002E-2</c:v>
                </c:pt>
                <c:pt idx="69">
                  <c:v>3.6366900000000001E-2</c:v>
                </c:pt>
                <c:pt idx="70">
                  <c:v>3.6490000000000002E-2</c:v>
                </c:pt>
                <c:pt idx="71">
                  <c:v>3.6612600000000002E-2</c:v>
                </c:pt>
                <c:pt idx="72">
                  <c:v>3.6726000000000002E-2</c:v>
                </c:pt>
                <c:pt idx="73">
                  <c:v>3.68466E-2</c:v>
                </c:pt>
                <c:pt idx="74">
                  <c:v>3.6966199999999998E-2</c:v>
                </c:pt>
                <c:pt idx="75">
                  <c:v>3.7077300000000001E-2</c:v>
                </c:pt>
                <c:pt idx="76">
                  <c:v>3.7191200000000001E-2</c:v>
                </c:pt>
                <c:pt idx="77">
                  <c:v>3.73157E-2</c:v>
                </c:pt>
                <c:pt idx="78">
                  <c:v>3.7420399999999999E-2</c:v>
                </c:pt>
                <c:pt idx="79">
                  <c:v>3.7535600000000002E-2</c:v>
                </c:pt>
                <c:pt idx="80">
                  <c:v>3.7653399999999997E-2</c:v>
                </c:pt>
                <c:pt idx="81">
                  <c:v>3.7759399999999999E-2</c:v>
                </c:pt>
                <c:pt idx="82">
                  <c:v>3.7879299999999998E-2</c:v>
                </c:pt>
                <c:pt idx="83">
                  <c:v>3.7979600000000002E-2</c:v>
                </c:pt>
                <c:pt idx="84">
                  <c:v>3.8090899999999997E-2</c:v>
                </c:pt>
                <c:pt idx="85">
                  <c:v>3.82049E-2</c:v>
                </c:pt>
                <c:pt idx="86">
                  <c:v>3.8304499999999998E-2</c:v>
                </c:pt>
                <c:pt idx="87">
                  <c:v>3.8410699999999999E-2</c:v>
                </c:pt>
                <c:pt idx="88">
                  <c:v>3.8531299999999997E-2</c:v>
                </c:pt>
                <c:pt idx="89">
                  <c:v>3.8629900000000002E-2</c:v>
                </c:pt>
                <c:pt idx="90">
                  <c:v>3.8731399999999999E-2</c:v>
                </c:pt>
                <c:pt idx="91">
                  <c:v>3.8847800000000002E-2</c:v>
                </c:pt>
                <c:pt idx="92">
                  <c:v>3.8948200000000002E-2</c:v>
                </c:pt>
                <c:pt idx="93">
                  <c:v>3.9052299999999998E-2</c:v>
                </c:pt>
                <c:pt idx="94">
                  <c:v>3.91665E-2</c:v>
                </c:pt>
                <c:pt idx="95">
                  <c:v>3.9262699999999998E-2</c:v>
                </c:pt>
                <c:pt idx="96">
                  <c:v>3.9369599999999998E-2</c:v>
                </c:pt>
                <c:pt idx="97">
                  <c:v>3.9479100000000003E-2</c:v>
                </c:pt>
                <c:pt idx="98">
                  <c:v>3.9570300000000003E-2</c:v>
                </c:pt>
                <c:pt idx="99">
                  <c:v>3.9675700000000001E-2</c:v>
                </c:pt>
                <c:pt idx="100">
                  <c:v>3.9788400000000002E-2</c:v>
                </c:pt>
                <c:pt idx="101">
                  <c:v>3.9882899999999999E-2</c:v>
                </c:pt>
                <c:pt idx="102">
                  <c:v>3.9983200000000003E-2</c:v>
                </c:pt>
                <c:pt idx="103">
                  <c:v>4.0097599999999997E-2</c:v>
                </c:pt>
                <c:pt idx="104">
                  <c:v>4.01911E-2</c:v>
                </c:pt>
                <c:pt idx="105">
                  <c:v>4.0290899999999998E-2</c:v>
                </c:pt>
                <c:pt idx="106">
                  <c:v>4.0396899999999999E-2</c:v>
                </c:pt>
                <c:pt idx="107">
                  <c:v>4.0492E-2</c:v>
                </c:pt>
                <c:pt idx="108">
                  <c:v>4.0602399999999997E-2</c:v>
                </c:pt>
                <c:pt idx="109">
                  <c:v>4.0696099999999999E-2</c:v>
                </c:pt>
                <c:pt idx="110">
                  <c:v>4.0786200000000002E-2</c:v>
                </c:pt>
                <c:pt idx="111">
                  <c:v>4.08974E-2</c:v>
                </c:pt>
                <c:pt idx="112">
                  <c:v>4.0991300000000001E-2</c:v>
                </c:pt>
                <c:pt idx="113">
                  <c:v>4.10856E-2</c:v>
                </c:pt>
                <c:pt idx="114">
                  <c:v>4.1181299999999997E-2</c:v>
                </c:pt>
                <c:pt idx="115">
                  <c:v>4.12878E-2</c:v>
                </c:pt>
                <c:pt idx="116">
                  <c:v>4.1380300000000002E-2</c:v>
                </c:pt>
                <c:pt idx="117">
                  <c:v>4.1483600000000002E-2</c:v>
                </c:pt>
                <c:pt idx="118">
                  <c:v>4.1573699999999998E-2</c:v>
                </c:pt>
                <c:pt idx="119">
                  <c:v>4.1666799999999997E-2</c:v>
                </c:pt>
                <c:pt idx="120">
                  <c:v>4.1769300000000002E-2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CA0-4840-815E-42C40DFB00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104866"/>
        <c:axId val="37889603"/>
      </c:lineChart>
      <c:dateAx>
        <c:axId val="4110486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low"/>
        <c:spPr>
          <a:ln>
            <a:solidFill>
              <a:srgbClr val="E3E3E3"/>
            </a:solidFill>
            <a:prstDash val="solid"/>
          </a:ln>
        </c:spPr>
        <c:crossAx val="37889603"/>
        <c:crosses val="autoZero"/>
        <c:auto val="1"/>
        <c:lblOffset val="100"/>
        <c:baseTimeUnit val="months"/>
        <c:majorUnit val="6"/>
        <c:majorTimeUnit val="months"/>
      </c:dateAx>
      <c:valAx>
        <c:axId val="37889603"/>
        <c:scaling>
          <c:orientation val="minMax"/>
          <c:max val="4.4269299999999998E-2"/>
          <c:min val="2.7114599999999999E-2"/>
        </c:scaling>
        <c:delete val="0"/>
        <c:axPos val="l"/>
        <c:majorGridlines>
          <c:spPr>
            <a:ln>
              <a:solidFill>
                <a:srgbClr val="E3E3E3"/>
              </a:solidFill>
              <a:prstDash val="solid"/>
            </a:ln>
          </c:spPr>
        </c:majorGridlines>
        <c:numFmt formatCode="0.00%" sourceLinked="0"/>
        <c:majorTickMark val="out"/>
        <c:minorTickMark val="none"/>
        <c:tickLblPos val="nextTo"/>
        <c:spPr>
          <a:ln>
            <a:solidFill>
              <a:srgbClr val="E3E3E3"/>
            </a:solidFill>
            <a:prstDash val="solid"/>
          </a:ln>
        </c:spPr>
        <c:crossAx val="41104866"/>
        <c:crosses val="autoZero"/>
        <c:crossBetween val="between"/>
        <c:minorUnit val="2.5000000000000001E-3"/>
      </c:valAx>
    </c:plotArea>
    <c:legend>
      <c:legendPos val="t"/>
      <c:overlay val="0"/>
    </c:legend>
    <c:plotVisOnly val="1"/>
    <c:dispBlanksAs val="gap"/>
    <c:showDLblsOverMax val="1"/>
  </c:chart>
  <c:spPr>
    <a:noFill/>
    <a:ln>
      <a:noFill/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0</xdr:rowOff>
    </xdr:from>
    <xdr:to>
      <xdr:col>13</xdr:col>
      <xdr:colOff>0</xdr:colOff>
      <xdr:row>34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0</xdr:colOff>
      <xdr:row>1</xdr:row>
      <xdr:rowOff>0</xdr:rowOff>
    </xdr:from>
    <xdr:ext cx="1771650" cy="561975"/>
    <xdr:pic>
      <xdr:nvPicPr>
        <xdr:cNvPr id="3" name="Picture 1" descr="Company0668 Logo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161925"/>
          <a:ext cx="1771650" cy="561975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examp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B224"/>
  <sheetViews>
    <sheetView showGridLines="0" topLeftCell="C1" zoomScale="83" zoomScaleNormal="85" workbookViewId="0">
      <selection activeCell="M63" sqref="M63"/>
    </sheetView>
  </sheetViews>
  <sheetFormatPr defaultColWidth="8.83203125" defaultRowHeight="15.5"/>
  <cols>
    <col min="1" max="1" width="3" style="157" customWidth="1"/>
    <col min="2" max="2" width="3.5" style="83" customWidth="1"/>
    <col min="3" max="3" width="23.5" style="83" customWidth="1"/>
    <col min="4" max="4" width="15" style="83" bestFit="1" customWidth="1"/>
    <col min="5" max="5" width="9.83203125" style="83" customWidth="1"/>
    <col min="6" max="6" width="9.5" style="83" bestFit="1" customWidth="1"/>
    <col min="7" max="7" width="9" style="83" customWidth="1"/>
    <col min="8" max="9" width="9.5" style="83" bestFit="1" customWidth="1"/>
    <col min="10" max="10" width="9.83203125" style="83" bestFit="1" customWidth="1"/>
    <col min="11" max="11" width="10.33203125" style="83" customWidth="1"/>
    <col min="12" max="12" width="3.5" style="83" customWidth="1"/>
    <col min="13" max="13" width="36.1640625" style="83" bestFit="1" customWidth="1"/>
    <col min="14" max="14" width="9" style="83" customWidth="1"/>
    <col min="15" max="15" width="10" style="83" customWidth="1"/>
    <col min="16" max="16" width="10.5" style="83" customWidth="1"/>
    <col min="17" max="17" width="9.83203125" style="83" customWidth="1"/>
    <col min="18" max="18" width="3.33203125" style="83" customWidth="1"/>
    <col min="19" max="19" width="3" style="81" customWidth="1"/>
    <col min="20" max="22" width="8.83203125" style="64" customWidth="1"/>
    <col min="23" max="23" width="10.33203125" style="64" bestFit="1" customWidth="1"/>
    <col min="24" max="24" width="8.83203125" style="64" customWidth="1"/>
    <col min="25" max="25" width="10.33203125" style="64" bestFit="1" customWidth="1"/>
    <col min="26" max="26" width="8.83203125" style="64" customWidth="1"/>
    <col min="27" max="16384" width="8.83203125" style="64"/>
  </cols>
  <sheetData>
    <row r="2" spans="1:28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28">
      <c r="B3" s="1"/>
      <c r="C3" s="37" t="s">
        <v>42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28">
      <c r="B4" s="1"/>
      <c r="C4" s="1" t="s">
        <v>43</v>
      </c>
      <c r="D4" s="668" t="s">
        <v>44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</row>
    <row r="5" spans="1:28">
      <c r="B5" s="1"/>
      <c r="C5" s="1" t="s">
        <v>45</v>
      </c>
      <c r="D5" s="668" t="s">
        <v>46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</row>
    <row r="6" spans="1:28">
      <c r="B6" s="1"/>
      <c r="C6" s="1" t="s">
        <v>47</v>
      </c>
      <c r="D6" s="668" t="s">
        <v>46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 spans="1:28">
      <c r="B7" s="1"/>
      <c r="C7" s="1" t="s">
        <v>48</v>
      </c>
      <c r="D7" s="668" t="s">
        <v>46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28">
      <c r="B8" s="1"/>
      <c r="C8" s="1" t="s">
        <v>49</v>
      </c>
      <c r="D8" s="668" t="s">
        <v>50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</row>
    <row r="9" spans="1:28">
      <c r="B9" s="1"/>
      <c r="C9" s="1" t="s">
        <v>51</v>
      </c>
      <c r="D9" s="668" t="s">
        <v>52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</row>
    <row r="10" spans="1:28"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</row>
    <row r="11" spans="1:28">
      <c r="C11" s="83" t="s">
        <v>53</v>
      </c>
      <c r="D11" s="304">
        <v>1</v>
      </c>
    </row>
    <row r="12" spans="1:28" ht="16" customHeight="1">
      <c r="B12" s="1"/>
      <c r="C12" s="761" t="s">
        <v>54</v>
      </c>
      <c r="D12" s="760"/>
      <c r="E12" s="760"/>
      <c r="F12" s="760"/>
      <c r="G12" s="760"/>
      <c r="H12" s="760"/>
      <c r="I12" s="760"/>
      <c r="J12" s="760"/>
      <c r="K12" s="762"/>
      <c r="L12" s="1"/>
      <c r="M12" s="2" t="s">
        <v>55</v>
      </c>
      <c r="N12" s="3"/>
      <c r="O12" s="3"/>
      <c r="P12" s="4"/>
      <c r="Q12" s="180"/>
      <c r="R12" s="1"/>
      <c r="U12" s="723" t="s">
        <v>56</v>
      </c>
      <c r="V12" s="724"/>
      <c r="W12" s="735"/>
      <c r="X12" s="724"/>
      <c r="Y12" s="724"/>
      <c r="AA12" s="734"/>
      <c r="AB12" s="734"/>
    </row>
    <row r="13" spans="1:28" ht="16" customHeight="1">
      <c r="B13" s="1"/>
      <c r="C13" s="1"/>
      <c r="D13" s="22"/>
      <c r="E13" s="22" t="s">
        <v>57</v>
      </c>
      <c r="F13" s="759" t="s">
        <v>58</v>
      </c>
      <c r="G13" s="760"/>
      <c r="H13" s="760"/>
      <c r="I13" s="760"/>
      <c r="J13" s="760"/>
      <c r="K13" s="5"/>
      <c r="L13" s="1"/>
      <c r="M13" s="1"/>
      <c r="N13" s="1"/>
      <c r="O13" s="1"/>
      <c r="P13" s="52"/>
      <c r="Q13" s="175" t="s">
        <v>59</v>
      </c>
      <c r="R13" s="1"/>
      <c r="U13" s="147"/>
      <c r="V13" s="147"/>
      <c r="W13" s="147"/>
      <c r="X13" s="147"/>
      <c r="Y13" s="147"/>
      <c r="AA13" s="83"/>
      <c r="AB13" s="83"/>
    </row>
    <row r="14" spans="1:28" ht="16" customHeight="1">
      <c r="B14" s="1"/>
      <c r="C14" s="1"/>
      <c r="D14" s="8"/>
      <c r="E14" s="305">
        <v>2024</v>
      </c>
      <c r="F14" s="8">
        <f>E14+1</f>
        <v>2025</v>
      </c>
      <c r="G14" s="8">
        <f>F14+1</f>
        <v>2026</v>
      </c>
      <c r="H14" s="8">
        <f>G14+1</f>
        <v>2027</v>
      </c>
      <c r="I14" s="8">
        <f>H14+1</f>
        <v>2028</v>
      </c>
      <c r="J14" s="8">
        <f>I14+1</f>
        <v>2029</v>
      </c>
      <c r="K14" s="5" t="s">
        <v>60</v>
      </c>
      <c r="L14" s="1"/>
      <c r="M14" s="7"/>
      <c r="N14" s="7"/>
      <c r="O14" s="1"/>
      <c r="P14" s="30" t="s">
        <v>61</v>
      </c>
      <c r="Q14" s="176" t="s">
        <v>62</v>
      </c>
      <c r="R14" s="1"/>
      <c r="U14" s="147"/>
      <c r="V14" s="725" t="s">
        <v>63</v>
      </c>
      <c r="W14" s="726" t="s">
        <v>64</v>
      </c>
      <c r="X14" s="727" t="s">
        <v>65</v>
      </c>
      <c r="Y14" s="147"/>
      <c r="AA14" s="83"/>
      <c r="AB14" s="83"/>
    </row>
    <row r="15" spans="1:28" ht="16" customHeight="1">
      <c r="A15" s="157" t="s">
        <v>66</v>
      </c>
      <c r="B15" s="1"/>
      <c r="C15" s="1" t="s">
        <v>67</v>
      </c>
      <c r="D15" s="10"/>
      <c r="E15" s="319">
        <f>'Operating Build'!Q23</f>
        <v>1288.3681469135522</v>
      </c>
      <c r="F15" s="10">
        <f>E15*(1+F16)</f>
        <v>1349.2523995347933</v>
      </c>
      <c r="G15" s="10">
        <f>F15*(1+G16)</f>
        <v>1420.6577584563884</v>
      </c>
      <c r="H15" s="10">
        <f>G15*(1+H16)</f>
        <v>1512.1048583500237</v>
      </c>
      <c r="I15" s="10">
        <f>H15*(1+I16)</f>
        <v>1621.249334394131</v>
      </c>
      <c r="J15" s="10">
        <f>I15*(1+J16)</f>
        <v>1742.3495221416222</v>
      </c>
      <c r="K15" s="11">
        <f>(J15/E15)^(1/5)-1</f>
        <v>6.2231216870647144E-2</v>
      </c>
      <c r="L15" s="1"/>
      <c r="M15" s="69" t="s">
        <v>68</v>
      </c>
      <c r="N15" s="69"/>
      <c r="O15" s="69"/>
      <c r="P15" s="179">
        <f>H100</f>
        <v>715</v>
      </c>
      <c r="Q15" s="79">
        <f>H102</f>
        <v>715</v>
      </c>
      <c r="R15" s="1"/>
      <c r="U15" s="147"/>
      <c r="V15" s="728">
        <v>1</v>
      </c>
      <c r="W15" s="729">
        <f ca="1">INDEX($F$216:$J$216, MATCH($V15, $F$215:$J$215, 0))</f>
        <v>0.56661786862115515</v>
      </c>
      <c r="X15" s="730">
        <f ca="1">INDEX($F$214:$J$214, MATCH($V15, $F$215:$J$215, 0))</f>
        <v>1.5666178686211552</v>
      </c>
      <c r="Y15" s="147"/>
      <c r="AA15" s="83"/>
      <c r="AB15" s="83"/>
    </row>
    <row r="16" spans="1:28" ht="16" customHeight="1">
      <c r="B16" s="1"/>
      <c r="C16" s="1" t="s">
        <v>69</v>
      </c>
      <c r="D16" s="13"/>
      <c r="E16" s="14"/>
      <c r="F16" s="14">
        <f>F52</f>
        <v>4.7256875115313068E-2</v>
      </c>
      <c r="G16" s="14">
        <f>G52</f>
        <v>5.292216559793772E-2</v>
      </c>
      <c r="H16" s="14">
        <f>H52</f>
        <v>6.4369549491636091E-2</v>
      </c>
      <c r="I16" s="14">
        <f>I52</f>
        <v>7.2180494256994354E-2</v>
      </c>
      <c r="J16" s="14">
        <f>J52</f>
        <v>7.4695597511376555E-2</v>
      </c>
      <c r="K16" s="5"/>
      <c r="L16" s="1"/>
      <c r="M16" s="1" t="s">
        <v>70</v>
      </c>
      <c r="N16" s="10">
        <f>E29</f>
        <v>81.607343178261758</v>
      </c>
      <c r="O16" s="10"/>
      <c r="P16" s="28">
        <f>P$15/N16</f>
        <v>8.7614664582103305</v>
      </c>
      <c r="Q16" s="77">
        <f>Q$15/N16</f>
        <v>8.7614664582103305</v>
      </c>
      <c r="R16" s="1"/>
      <c r="S16" s="81" t="s">
        <v>71</v>
      </c>
      <c r="U16" s="147"/>
      <c r="V16" s="728">
        <v>2</v>
      </c>
      <c r="W16" s="729">
        <f ca="1">INDEX($F$216:$J$216, MATCH($V16, $F$215:$J$215, 0))</f>
        <v>0.44556915464906921</v>
      </c>
      <c r="X16" s="730">
        <f ca="1">INDEX($F$214:$J$214, MATCH($V16, $F$215:$J$215, 0))</f>
        <v>2.0896701808728246</v>
      </c>
      <c r="Y16" s="147"/>
      <c r="AA16" s="83"/>
      <c r="AB16" s="83"/>
    </row>
    <row r="17" spans="1:28" ht="16" customHeight="1">
      <c r="B17" s="1"/>
      <c r="C17" s="1"/>
      <c r="D17" s="1"/>
      <c r="E17" s="1"/>
      <c r="F17" s="1"/>
      <c r="G17" s="1"/>
      <c r="H17" s="1"/>
      <c r="I17" s="1"/>
      <c r="J17" s="1"/>
      <c r="K17" s="5"/>
      <c r="L17" s="1"/>
      <c r="M17" s="1"/>
      <c r="N17" s="1"/>
      <c r="O17" s="6"/>
      <c r="P17" s="1"/>
      <c r="Q17" s="181"/>
      <c r="R17" s="1"/>
      <c r="U17" s="147"/>
      <c r="V17" s="728">
        <v>3</v>
      </c>
      <c r="W17" s="729">
        <f ca="1">INDEX($F$216:$J$216, MATCH($V17, $F$215:$J$215, 0))</f>
        <v>0.35886934468039633</v>
      </c>
      <c r="X17" s="730">
        <f ca="1">INDEX($F$214:$J$214, MATCH($V17, $F$215:$J$215, 0))</f>
        <v>2.5091874341134979</v>
      </c>
      <c r="Y17" s="147"/>
      <c r="AA17" s="83"/>
      <c r="AB17" s="83"/>
    </row>
    <row r="18" spans="1:28" ht="16" customHeight="1">
      <c r="A18" s="157" t="s">
        <v>72</v>
      </c>
      <c r="B18" s="1"/>
      <c r="C18" s="1" t="s">
        <v>73</v>
      </c>
      <c r="D18" s="19"/>
      <c r="E18" s="320">
        <f>'Operating Build'!Q45</f>
        <v>256.99099683717208</v>
      </c>
      <c r="F18" s="19">
        <f>F19*F15</f>
        <v>270.1816245064943</v>
      </c>
      <c r="G18" s="19">
        <f>G19*G15</f>
        <v>284.70873448064248</v>
      </c>
      <c r="H18" s="19">
        <f>H19*H15</f>
        <v>302.83150324160306</v>
      </c>
      <c r="I18" s="19">
        <f>I19*I15</f>
        <v>324.28189729093481</v>
      </c>
      <c r="J18" s="19">
        <f>J19*J15</f>
        <v>348.06719263261402</v>
      </c>
      <c r="K18" s="11">
        <f>(J18/E18)^(1/5)-1</f>
        <v>6.2549169772809554E-2</v>
      </c>
      <c r="L18" s="1"/>
      <c r="M18" s="1" t="s">
        <v>74</v>
      </c>
      <c r="N18" s="1"/>
      <c r="O18" s="6"/>
      <c r="P18" s="9"/>
      <c r="Q18" s="177">
        <f>SUM(O$17:O18)/N16</f>
        <v>0</v>
      </c>
      <c r="R18" s="1"/>
      <c r="U18" s="147"/>
      <c r="V18" s="728">
        <v>4</v>
      </c>
      <c r="W18" s="729">
        <f ca="1">INDEX($F$216:$J$216, MATCH($V18, $F$215:$J$215, 0))</f>
        <v>0.31571157238551173</v>
      </c>
      <c r="X18" s="730">
        <f ca="1">INDEX($F$214:$J$214, MATCH($V18, $F$215:$J$215, 0))</f>
        <v>2.9966966215947917</v>
      </c>
      <c r="Y18" s="147"/>
      <c r="AA18" s="83"/>
      <c r="AB18" s="83"/>
    </row>
    <row r="19" spans="1:28" ht="16" customHeight="1">
      <c r="B19" s="1"/>
      <c r="C19" s="1" t="s">
        <v>75</v>
      </c>
      <c r="D19" s="20"/>
      <c r="E19" s="20">
        <f>E18/E15</f>
        <v>0.19947015723170919</v>
      </c>
      <c r="F19" s="14">
        <f>F53</f>
        <v>0.20024542820872493</v>
      </c>
      <c r="G19" s="14">
        <f>G53</f>
        <v>0.20040627856070833</v>
      </c>
      <c r="H19" s="14">
        <f>H53</f>
        <v>0.20027149676117453</v>
      </c>
      <c r="I19" s="14">
        <f>I53</f>
        <v>0.20001975662313567</v>
      </c>
      <c r="J19" s="14">
        <f>J53</f>
        <v>0.19976886853608145</v>
      </c>
      <c r="K19" s="5"/>
      <c r="L19" s="1"/>
      <c r="M19" s="1" t="s">
        <v>76</v>
      </c>
      <c r="N19" s="1"/>
      <c r="O19" s="10">
        <f>G105</f>
        <v>118.59999999999989</v>
      </c>
      <c r="P19" s="12"/>
      <c r="Q19" s="178">
        <f>SUM(O$17:O19)/N16</f>
        <v>1.4533005901311109</v>
      </c>
      <c r="R19" s="1"/>
      <c r="U19" s="147"/>
      <c r="V19" s="731">
        <v>5</v>
      </c>
      <c r="W19" s="732">
        <f ca="1">INDEX($F$216:$J$216, MATCH($V19, $F$215:$J$215, 0))</f>
        <v>0.28839736112509384</v>
      </c>
      <c r="X19" s="733">
        <f ca="1">INDEX($F$214:$J$214, MATCH($V19, $F$215:$J$215, 0))</f>
        <v>3.5501698643839976</v>
      </c>
      <c r="Y19" s="147"/>
      <c r="AA19" s="83"/>
      <c r="AB19" s="83"/>
    </row>
    <row r="20" spans="1:28" ht="16" customHeight="1">
      <c r="B20" s="1"/>
      <c r="C20" s="1"/>
      <c r="D20" s="1"/>
      <c r="E20" s="1"/>
      <c r="F20" s="1"/>
      <c r="G20" s="1"/>
      <c r="H20" s="1"/>
      <c r="I20" s="1"/>
      <c r="J20" s="1"/>
      <c r="K20" s="5"/>
      <c r="L20" s="1"/>
      <c r="M20" s="1" t="s">
        <v>77</v>
      </c>
      <c r="N20" s="1"/>
      <c r="O20" s="6">
        <f>G106</f>
        <v>199.99999999999991</v>
      </c>
      <c r="P20" s="12"/>
      <c r="Q20" s="178">
        <f>SUM(O$17:O20)/N16</f>
        <v>3.9040604385815518</v>
      </c>
      <c r="R20" s="1"/>
      <c r="U20" s="147"/>
      <c r="V20" s="147"/>
      <c r="W20" s="147"/>
      <c r="X20" s="147"/>
      <c r="Y20" s="147"/>
      <c r="AA20" s="83"/>
      <c r="AB20" s="83"/>
    </row>
    <row r="21" spans="1:28" ht="16" customHeight="1">
      <c r="A21" s="157" t="s">
        <v>78</v>
      </c>
      <c r="B21" s="1"/>
      <c r="C21" s="1" t="s">
        <v>79</v>
      </c>
      <c r="D21" s="19"/>
      <c r="E21" s="320">
        <f>-('Operating Build'!Q49+'Operating Build'!Q52)</f>
        <v>179.21914812721545</v>
      </c>
      <c r="F21" s="19">
        <f>F22*F15</f>
        <v>175.20790033283924</v>
      </c>
      <c r="G21" s="19">
        <f>G22*G15</f>
        <v>171.3391975825991</v>
      </c>
      <c r="H21" s="19">
        <f>H22*H15</f>
        <v>176.571822584241</v>
      </c>
      <c r="I21" s="19">
        <f>I22*I15</f>
        <v>183.10207489505234</v>
      </c>
      <c r="J21" s="19">
        <f>J22*J15</f>
        <v>190.09998728336822</v>
      </c>
      <c r="K21" s="11">
        <f>(J21/E21)^(1/5)-1</f>
        <v>1.1857921137116811E-2</v>
      </c>
      <c r="L21" s="1"/>
      <c r="M21" s="15" t="s">
        <v>80</v>
      </c>
      <c r="N21" s="16">
        <f>O21/O26</f>
        <v>0.44559440559440533</v>
      </c>
      <c r="O21" s="17">
        <f>SUM(O17:O20)</f>
        <v>318.5999999999998</v>
      </c>
      <c r="P21" s="18"/>
      <c r="Q21" s="21">
        <f>Q20</f>
        <v>3.9040604385815518</v>
      </c>
      <c r="R21" s="1"/>
      <c r="U21" s="83"/>
      <c r="V21" s="83"/>
      <c r="W21" s="83"/>
      <c r="X21" s="83"/>
      <c r="Y21" s="83"/>
      <c r="Z21" s="83"/>
      <c r="AA21" s="83"/>
      <c r="AB21" s="83"/>
    </row>
    <row r="22" spans="1:28" ht="16" customHeight="1">
      <c r="B22" s="1"/>
      <c r="C22" s="1" t="s">
        <v>75</v>
      </c>
      <c r="D22" s="14"/>
      <c r="E22" s="14">
        <f>E21/E15</f>
        <v>0.13910554103387099</v>
      </c>
      <c r="F22" s="14">
        <f>F54</f>
        <v>0.12985554103387098</v>
      </c>
      <c r="G22" s="14">
        <f>G54</f>
        <v>0.12060554103387097</v>
      </c>
      <c r="H22" s="14">
        <f>H54</f>
        <v>0.11677220770053763</v>
      </c>
      <c r="I22" s="14">
        <f>I54</f>
        <v>0.11293887436720429</v>
      </c>
      <c r="J22" s="14">
        <f>J54</f>
        <v>0.10910554103387096</v>
      </c>
      <c r="K22" s="5"/>
      <c r="L22" s="1"/>
      <c r="M22" s="1" t="s">
        <v>81</v>
      </c>
      <c r="N22" s="1"/>
      <c r="O22" s="306">
        <v>0</v>
      </c>
      <c r="P22" s="12"/>
      <c r="Q22" s="178"/>
      <c r="R22" s="1"/>
      <c r="S22" s="81" t="s">
        <v>82</v>
      </c>
      <c r="U22" s="83"/>
      <c r="V22" s="83"/>
      <c r="W22" s="83"/>
      <c r="X22" s="83"/>
      <c r="Y22" s="83"/>
      <c r="Z22" s="83"/>
      <c r="AA22" s="83"/>
      <c r="AB22" s="83"/>
    </row>
    <row r="23" spans="1:28" ht="16" customHeight="1">
      <c r="B23" s="1"/>
      <c r="C23" s="1"/>
      <c r="D23" s="1"/>
      <c r="E23" s="1"/>
      <c r="F23" s="1"/>
      <c r="G23" s="1"/>
      <c r="H23" s="1"/>
      <c r="I23" s="1"/>
      <c r="J23" s="1"/>
      <c r="K23" s="5"/>
      <c r="L23" s="1"/>
      <c r="M23" s="1"/>
      <c r="N23" s="1"/>
      <c r="O23" s="6"/>
      <c r="P23" s="12"/>
      <c r="Q23" s="178"/>
      <c r="R23" s="1"/>
      <c r="U23" s="83"/>
      <c r="V23" s="83"/>
      <c r="W23" s="83"/>
      <c r="X23" s="83"/>
      <c r="Y23" s="83"/>
      <c r="Z23" s="83"/>
      <c r="AA23" s="83"/>
      <c r="AB23" s="83"/>
    </row>
    <row r="24" spans="1:28" ht="16" customHeight="1">
      <c r="B24" s="1"/>
      <c r="C24" s="1" t="s">
        <v>83</v>
      </c>
      <c r="D24" s="19"/>
      <c r="E24" s="307">
        <v>3.835494468305134</v>
      </c>
      <c r="F24" s="308">
        <v>0</v>
      </c>
      <c r="G24" s="308">
        <v>0</v>
      </c>
      <c r="H24" s="308">
        <v>0</v>
      </c>
      <c r="I24" s="308">
        <v>0</v>
      </c>
      <c r="J24" s="308">
        <v>0</v>
      </c>
      <c r="K24" s="11"/>
      <c r="L24" s="1"/>
      <c r="M24" s="1" t="s">
        <v>84</v>
      </c>
      <c r="N24" s="1"/>
      <c r="O24" s="10">
        <f>H108-O22</f>
        <v>396.4000000000002</v>
      </c>
      <c r="P24" s="12"/>
      <c r="Q24" s="178"/>
      <c r="R24" s="1"/>
      <c r="U24" s="83"/>
      <c r="V24" s="83"/>
      <c r="W24" s="83"/>
      <c r="X24" s="83"/>
      <c r="Y24" s="83"/>
      <c r="Z24" s="83"/>
      <c r="AA24" s="83"/>
      <c r="AB24" s="83"/>
    </row>
    <row r="25" spans="1:28" ht="16" customHeight="1">
      <c r="B25" s="1"/>
      <c r="C25" s="15" t="s">
        <v>85</v>
      </c>
      <c r="D25" s="15"/>
      <c r="E25" s="182">
        <f t="shared" ref="E25:J25" si="0">E18-E21+E24</f>
        <v>81.607343178261758</v>
      </c>
      <c r="F25" s="182">
        <f t="shared" si="0"/>
        <v>94.973724173655057</v>
      </c>
      <c r="G25" s="182">
        <f t="shared" si="0"/>
        <v>113.36953689804338</v>
      </c>
      <c r="H25" s="182">
        <f t="shared" si="0"/>
        <v>126.25968065736205</v>
      </c>
      <c r="I25" s="182">
        <f t="shared" si="0"/>
        <v>141.17982239588247</v>
      </c>
      <c r="J25" s="182">
        <f t="shared" si="0"/>
        <v>157.9672053492458</v>
      </c>
      <c r="K25" s="11">
        <f>(J25/E25)^(1/5)-1</f>
        <v>0.14121517823566165</v>
      </c>
      <c r="L25" s="1"/>
      <c r="M25" s="15" t="s">
        <v>86</v>
      </c>
      <c r="N25" s="16">
        <f>O25/O26</f>
        <v>0.55440559440559467</v>
      </c>
      <c r="O25" s="17">
        <f>O22+O24</f>
        <v>396.4000000000002</v>
      </c>
      <c r="P25" s="18"/>
      <c r="Q25" s="21">
        <f>(O25+O21)/N16</f>
        <v>8.7614664582103305</v>
      </c>
      <c r="R25" s="1"/>
      <c r="U25" s="83"/>
      <c r="V25" s="83"/>
      <c r="W25" s="83"/>
      <c r="X25" s="83"/>
      <c r="Y25" s="83"/>
      <c r="Z25" s="83"/>
      <c r="AA25" s="83"/>
      <c r="AB25" s="83"/>
    </row>
    <row r="26" spans="1:28" ht="16" customHeight="1">
      <c r="B26" s="1"/>
      <c r="C26" s="1" t="s">
        <v>75</v>
      </c>
      <c r="D26" s="1"/>
      <c r="E26" s="20">
        <f t="shared" ref="E26:J26" si="1">E25/E15</f>
        <v>6.3341633657865881E-2</v>
      </c>
      <c r="F26" s="20">
        <f t="shared" si="1"/>
        <v>7.0389887174853949E-2</v>
      </c>
      <c r="G26" s="20">
        <f t="shared" si="1"/>
        <v>7.9800737526837376E-2</v>
      </c>
      <c r="H26" s="20">
        <f t="shared" si="1"/>
        <v>8.3499289060636903E-2</v>
      </c>
      <c r="I26" s="20">
        <f t="shared" si="1"/>
        <v>8.7080882255931399E-2</v>
      </c>
      <c r="J26" s="20">
        <f t="shared" si="1"/>
        <v>9.066332750221047E-2</v>
      </c>
      <c r="K26" s="5"/>
      <c r="L26" s="1"/>
      <c r="M26" s="1" t="s">
        <v>87</v>
      </c>
      <c r="N26" s="1"/>
      <c r="O26" s="6">
        <f>O25+O21</f>
        <v>715</v>
      </c>
      <c r="P26" s="12"/>
      <c r="Q26" s="178">
        <f>Q25</f>
        <v>8.7614664582103305</v>
      </c>
      <c r="R26" s="1"/>
      <c r="U26" s="83"/>
      <c r="V26" s="83"/>
      <c r="W26" s="83"/>
      <c r="X26" s="83"/>
      <c r="Y26" s="83"/>
      <c r="Z26" s="83"/>
      <c r="AA26" s="83"/>
      <c r="AB26" s="83"/>
    </row>
    <row r="27" spans="1:28" ht="16" customHeight="1">
      <c r="B27" s="1"/>
      <c r="C27" s="1"/>
      <c r="D27" s="1"/>
      <c r="E27" s="1"/>
      <c r="F27" s="1"/>
      <c r="G27" s="1"/>
      <c r="H27" s="1"/>
      <c r="I27" s="1"/>
      <c r="J27" s="1"/>
      <c r="K27" s="5"/>
      <c r="L27" s="1"/>
      <c r="M27" s="1"/>
      <c r="N27" s="1"/>
      <c r="O27" s="1"/>
      <c r="P27" s="1"/>
      <c r="Q27" s="1"/>
      <c r="R27" s="1"/>
      <c r="U27" s="83"/>
      <c r="V27" s="83"/>
      <c r="W27" s="83"/>
      <c r="X27" s="83"/>
      <c r="Y27" s="83"/>
      <c r="Z27" s="83"/>
      <c r="AA27" s="83"/>
      <c r="AB27" s="83"/>
    </row>
    <row r="28" spans="1:28" ht="16" customHeight="1">
      <c r="A28" s="157" t="s">
        <v>88</v>
      </c>
      <c r="B28" s="1"/>
      <c r="C28" s="1" t="s">
        <v>89</v>
      </c>
      <c r="D28" s="19"/>
      <c r="E28" s="307">
        <v>0</v>
      </c>
      <c r="F28" s="23">
        <f>F153</f>
        <v>0</v>
      </c>
      <c r="G28" s="23">
        <f>G153</f>
        <v>0</v>
      </c>
      <c r="H28" s="23">
        <f>H153</f>
        <v>0</v>
      </c>
      <c r="I28" s="23">
        <f>I153</f>
        <v>0</v>
      </c>
      <c r="J28" s="23">
        <f>J153</f>
        <v>0</v>
      </c>
      <c r="K28" s="5"/>
      <c r="L28" s="1"/>
      <c r="M28" s="1"/>
      <c r="N28" s="1"/>
      <c r="O28" s="1"/>
      <c r="P28" s="1"/>
      <c r="Q28" s="1"/>
      <c r="R28" s="1"/>
      <c r="U28" s="83"/>
      <c r="V28" s="83"/>
      <c r="W28" s="83"/>
      <c r="X28" s="83"/>
      <c r="Y28" s="83"/>
      <c r="Z28" s="83"/>
      <c r="AA28" s="83"/>
      <c r="AB28" s="83"/>
    </row>
    <row r="29" spans="1:28" ht="16" customHeight="1">
      <c r="B29" s="1"/>
      <c r="C29" s="69" t="s">
        <v>90</v>
      </c>
      <c r="D29" s="70"/>
      <c r="E29" s="70">
        <f t="shared" ref="E29:J29" si="2">E25+E28</f>
        <v>81.607343178261758</v>
      </c>
      <c r="F29" s="70">
        <f t="shared" si="2"/>
        <v>94.973724173655057</v>
      </c>
      <c r="G29" s="70">
        <f t="shared" si="2"/>
        <v>113.36953689804338</v>
      </c>
      <c r="H29" s="70">
        <f t="shared" si="2"/>
        <v>126.25968065736205</v>
      </c>
      <c r="I29" s="70">
        <f t="shared" si="2"/>
        <v>141.17982239588247</v>
      </c>
      <c r="J29" s="70">
        <f t="shared" si="2"/>
        <v>157.9672053492458</v>
      </c>
      <c r="K29" s="11">
        <f>(J29/E29)^(1/5)-1</f>
        <v>0.14121517823566165</v>
      </c>
      <c r="L29" s="1"/>
      <c r="M29" s="1"/>
      <c r="N29" s="1"/>
      <c r="O29" s="1"/>
      <c r="P29" s="1"/>
      <c r="Q29" s="1"/>
      <c r="R29" s="1"/>
      <c r="U29" s="83"/>
      <c r="V29" s="83"/>
      <c r="W29" s="83"/>
      <c r="X29" s="83"/>
      <c r="Y29" s="83"/>
      <c r="Z29" s="83"/>
      <c r="AA29" s="83"/>
      <c r="AB29" s="83"/>
    </row>
    <row r="30" spans="1:28" ht="16" customHeight="1">
      <c r="B30" s="1"/>
      <c r="C30" s="1" t="s">
        <v>75</v>
      </c>
      <c r="D30" s="14"/>
      <c r="E30" s="14">
        <f t="shared" ref="E30:J30" si="3">E29/E15</f>
        <v>6.3341633657865881E-2</v>
      </c>
      <c r="F30" s="14">
        <f t="shared" si="3"/>
        <v>7.0389887174853949E-2</v>
      </c>
      <c r="G30" s="14">
        <f t="shared" si="3"/>
        <v>7.9800737526837376E-2</v>
      </c>
      <c r="H30" s="14">
        <f t="shared" si="3"/>
        <v>8.3499289060636903E-2</v>
      </c>
      <c r="I30" s="14">
        <f t="shared" si="3"/>
        <v>8.7080882255931399E-2</v>
      </c>
      <c r="J30" s="14">
        <f t="shared" si="3"/>
        <v>9.066332750221047E-2</v>
      </c>
      <c r="K30" s="5"/>
      <c r="L30" s="1"/>
      <c r="M30" s="722" t="s">
        <v>91</v>
      </c>
      <c r="N30" s="697"/>
      <c r="O30" s="698"/>
      <c r="P30" s="699">
        <f ca="1">J214</f>
        <v>3.5501698643839976</v>
      </c>
      <c r="Q30" s="700">
        <f ca="1">J216</f>
        <v>0.28839736112509384</v>
      </c>
      <c r="R30" s="1"/>
      <c r="S30" s="81" t="s">
        <v>92</v>
      </c>
      <c r="U30" s="83"/>
      <c r="V30" s="83"/>
      <c r="W30" s="83"/>
      <c r="X30" s="83"/>
      <c r="Y30" s="83"/>
      <c r="Z30" s="83"/>
      <c r="AA30" s="83"/>
      <c r="AB30" s="83"/>
    </row>
    <row r="31" spans="1:28" ht="16" customHeight="1">
      <c r="B31" s="1"/>
      <c r="C31" s="1"/>
      <c r="D31" s="1"/>
      <c r="E31" s="1"/>
      <c r="F31" s="1"/>
      <c r="G31" s="1"/>
      <c r="H31" s="1"/>
      <c r="I31" s="1"/>
      <c r="J31" s="1"/>
      <c r="K31" s="5"/>
      <c r="L31" s="1"/>
      <c r="M31" s="701"/>
      <c r="N31" s="701"/>
      <c r="O31" s="755" t="s">
        <v>93</v>
      </c>
      <c r="P31" s="756"/>
      <c r="Q31" s="756"/>
      <c r="R31" s="1"/>
    </row>
    <row r="32" spans="1:28" ht="16" customHeight="1">
      <c r="A32" s="157" t="s">
        <v>94</v>
      </c>
      <c r="B32" s="1"/>
      <c r="C32" s="1" t="s">
        <v>95</v>
      </c>
      <c r="D32" s="1"/>
      <c r="E32" s="320">
        <f>'Operating Build'!L112</f>
        <v>-25.391958316446669</v>
      </c>
      <c r="F32" s="19">
        <f>F60+F61</f>
        <v>-22.11450593929176</v>
      </c>
      <c r="G32" s="19">
        <f>G60+G61</f>
        <v>-23.284853484727535</v>
      </c>
      <c r="H32" s="19">
        <f>H60+H61</f>
        <v>-24.783689013518199</v>
      </c>
      <c r="I32" s="19">
        <f>I60+I61</f>
        <v>-26.572587936025592</v>
      </c>
      <c r="J32" s="19">
        <f>J60+J61</f>
        <v>-28.557443269330612</v>
      </c>
      <c r="K32" s="5"/>
      <c r="L32" s="1"/>
      <c r="M32" s="702"/>
      <c r="N32" s="703">
        <f ca="1">J216</f>
        <v>0.28839736112509384</v>
      </c>
      <c r="O32" s="704">
        <f>P32-0.5</f>
        <v>9.2614664582103305</v>
      </c>
      <c r="P32" s="704">
        <f>H116</f>
        <v>9.7614664582103305</v>
      </c>
      <c r="Q32" s="704">
        <f>P32+0.5</f>
        <v>10.261466458210331</v>
      </c>
      <c r="R32" s="1"/>
    </row>
    <row r="33" spans="1:27" ht="16" customHeight="1">
      <c r="A33" s="157" t="s">
        <v>88</v>
      </c>
      <c r="B33" s="1"/>
      <c r="C33" s="1" t="s">
        <v>96</v>
      </c>
      <c r="D33" s="1"/>
      <c r="E33" s="19"/>
      <c r="F33" s="174">
        <f>-F145</f>
        <v>0</v>
      </c>
      <c r="G33" s="174">
        <f>-G145</f>
        <v>0</v>
      </c>
      <c r="H33" s="174">
        <f>-H145</f>
        <v>0</v>
      </c>
      <c r="I33" s="174">
        <f>-I145</f>
        <v>0</v>
      </c>
      <c r="J33" s="174">
        <f>-J145</f>
        <v>0</v>
      </c>
      <c r="K33" s="5"/>
      <c r="L33" s="1"/>
      <c r="M33" s="701"/>
      <c r="N33" s="705">
        <f>N34*0.9</f>
        <v>142.17048481432121</v>
      </c>
      <c r="O33" s="706">
        <f t="dataTable" ref="O33:Q35" dt2D="1" dtr="1" r1="J199" r2="J200" ca="1"/>
        <v>0.24752185659654646</v>
      </c>
      <c r="P33" s="706">
        <v>0.26099854269242995</v>
      </c>
      <c r="Q33" s="706">
        <v>0.27392258433024153</v>
      </c>
      <c r="R33" s="1"/>
    </row>
    <row r="34" spans="1:27" ht="16" customHeight="1">
      <c r="A34" s="157" t="s">
        <v>97</v>
      </c>
      <c r="B34" s="1"/>
      <c r="C34" s="1" t="s">
        <v>98</v>
      </c>
      <c r="D34" s="1"/>
      <c r="E34" s="1"/>
      <c r="F34" s="19">
        <f>F66+F67</f>
        <v>-6.3843507843012759</v>
      </c>
      <c r="G34" s="19">
        <f>G66+G67</f>
        <v>-7.0861113338955732</v>
      </c>
      <c r="H34" s="19">
        <f>H66+H67</f>
        <v>-8.1493558715770291</v>
      </c>
      <c r="I34" s="19">
        <f>I66+I67</f>
        <v>-9.6407084136976948</v>
      </c>
      <c r="J34" s="19">
        <f>J66+J67</f>
        <v>-10.709711270786926</v>
      </c>
      <c r="K34" s="5"/>
      <c r="L34" s="1"/>
      <c r="M34" s="707" t="s">
        <v>99</v>
      </c>
      <c r="N34" s="705">
        <f>J29</f>
        <v>157.9672053492458</v>
      </c>
      <c r="O34" s="706">
        <v>0.27465758702000143</v>
      </c>
      <c r="P34" s="708">
        <v>0.28839736112509384</v>
      </c>
      <c r="Q34" s="706">
        <v>0.30157486963350877</v>
      </c>
      <c r="R34" s="1"/>
    </row>
    <row r="35" spans="1:27" ht="16" customHeight="1">
      <c r="A35" s="157" t="s">
        <v>100</v>
      </c>
      <c r="B35" s="1"/>
      <c r="C35" s="1" t="s">
        <v>101</v>
      </c>
      <c r="D35" s="1"/>
      <c r="E35" s="1"/>
      <c r="F35" s="19">
        <f ca="1">IF(CIRCULARITY=1,-F83,-0.69)</f>
        <v>-30.833899208322045</v>
      </c>
      <c r="G35" s="19">
        <f ca="1">IF(CIRCULARITY=1,-G83,-0.69)</f>
        <v>-25.801877809193314</v>
      </c>
      <c r="H35" s="19">
        <f ca="1">IF(CIRCULARITY=1,-H83,-0.69)</f>
        <v>-22.738481643989918</v>
      </c>
      <c r="I35" s="19">
        <f ca="1">IF(CIRCULARITY=1,-I83,-0.69)</f>
        <v>-21.515024008333327</v>
      </c>
      <c r="J35" s="19">
        <f ca="1">IF(CIRCULARITY=1,-J83,-0.69)</f>
        <v>-21.592167999999994</v>
      </c>
      <c r="K35" s="5"/>
      <c r="L35" s="1"/>
      <c r="M35" s="709"/>
      <c r="N35" s="705">
        <f>N34*1.1</f>
        <v>173.76392588417039</v>
      </c>
      <c r="O35" s="706">
        <v>0.29966186307941656</v>
      </c>
      <c r="P35" s="706">
        <v>0.31364619121625004</v>
      </c>
      <c r="Q35" s="706">
        <v>0.32705921451118081</v>
      </c>
      <c r="R35" s="1"/>
    </row>
    <row r="36" spans="1:27" ht="16" customHeight="1">
      <c r="A36" s="157" t="s">
        <v>102</v>
      </c>
      <c r="B36" s="1"/>
      <c r="C36" s="1" t="s">
        <v>103</v>
      </c>
      <c r="D36" s="1"/>
      <c r="E36" s="1"/>
      <c r="F36" s="19">
        <f ca="1">-F91</f>
        <v>-8.4563030218912445</v>
      </c>
      <c r="G36" s="19">
        <f ca="1">-G91</f>
        <v>-13.822785326602222</v>
      </c>
      <c r="H36" s="19">
        <f ca="1">-H91</f>
        <v>-17.601269555297176</v>
      </c>
      <c r="I36" s="19">
        <f ca="1">-I91</f>
        <v>-21.299726549077349</v>
      </c>
      <c r="J36" s="19">
        <f ca="1">-J91</f>
        <v>-25.066827847106488</v>
      </c>
      <c r="K36" s="24" t="s">
        <v>104</v>
      </c>
      <c r="L36" s="1"/>
      <c r="M36" s="701"/>
      <c r="N36" s="701"/>
      <c r="O36" s="701"/>
      <c r="P36" s="701"/>
      <c r="Q36" s="701"/>
      <c r="R36" s="1"/>
    </row>
    <row r="37" spans="1:27" ht="16" customHeight="1">
      <c r="B37" s="1"/>
      <c r="C37" s="25" t="s">
        <v>105</v>
      </c>
      <c r="D37" s="25"/>
      <c r="E37" s="25"/>
      <c r="F37" s="26">
        <f ca="1">SUM(F32:F36)+F29</f>
        <v>27.184665219848739</v>
      </c>
      <c r="G37" s="26">
        <f ca="1">SUM(G32:G36)+G29</f>
        <v>43.373908943624741</v>
      </c>
      <c r="H37" s="26">
        <f ca="1">SUM(H32:H36)+H29</f>
        <v>52.986884572979733</v>
      </c>
      <c r="I37" s="26">
        <f ca="1">SUM(I32:I36)+I29</f>
        <v>62.151775488748513</v>
      </c>
      <c r="J37" s="26">
        <f ca="1">SUM(J32:J36)+J29</f>
        <v>72.041054962021775</v>
      </c>
      <c r="K37" s="27">
        <f ca="1">SUM(F37:J37)</f>
        <v>257.73828918722347</v>
      </c>
      <c r="L37" s="1"/>
      <c r="M37" s="696" t="s">
        <v>106</v>
      </c>
      <c r="N37" s="701"/>
      <c r="O37" s="710" t="s">
        <v>107</v>
      </c>
      <c r="P37" s="710" t="s">
        <v>108</v>
      </c>
      <c r="Q37" s="711" t="s">
        <v>109</v>
      </c>
      <c r="R37" s="1"/>
    </row>
    <row r="38" spans="1:27" ht="16" customHeight="1">
      <c r="B38" s="1"/>
      <c r="C38" s="73" t="s">
        <v>110</v>
      </c>
      <c r="D38" s="74"/>
      <c r="E38" s="75">
        <f>H107</f>
        <v>318.5999999999998</v>
      </c>
      <c r="F38" s="75">
        <f ca="1">E38-F37</f>
        <v>291.41533478015106</v>
      </c>
      <c r="G38" s="75">
        <f ca="1">F38-G37</f>
        <v>248.04142583652632</v>
      </c>
      <c r="H38" s="75">
        <f ca="1">G38-H37</f>
        <v>195.05454126354658</v>
      </c>
      <c r="I38" s="75">
        <f ca="1">H38-I37</f>
        <v>132.90276577479807</v>
      </c>
      <c r="J38" s="75">
        <f ca="1">I38-J37</f>
        <v>60.861710812776295</v>
      </c>
      <c r="K38" s="76">
        <f ca="1">SUM(E38-J38)</f>
        <v>257.73828918722347</v>
      </c>
      <c r="L38" s="1"/>
      <c r="M38" s="701" t="s">
        <v>111</v>
      </c>
      <c r="N38" s="701"/>
      <c r="O38" s="712">
        <f>E29</f>
        <v>81.607343178261758</v>
      </c>
      <c r="P38" s="713">
        <f>J29</f>
        <v>157.9672053492458</v>
      </c>
      <c r="Q38" s="714">
        <f>(P38-O38)*O39</f>
        <v>669.02437116464057</v>
      </c>
      <c r="R38" s="1"/>
    </row>
    <row r="39" spans="1:27" ht="16" customHeight="1">
      <c r="B39" s="1"/>
      <c r="C39" s="36" t="s">
        <v>112</v>
      </c>
      <c r="D39" s="77"/>
      <c r="E39" s="77">
        <f t="shared" ref="E39:J39" si="4">E38/E29</f>
        <v>3.9040604385815518</v>
      </c>
      <c r="F39" s="77">
        <f t="shared" ca="1" si="4"/>
        <v>3.0683785153808607</v>
      </c>
      <c r="G39" s="77">
        <f t="shared" ca="1" si="4"/>
        <v>2.1879019057791282</v>
      </c>
      <c r="H39" s="77">
        <f t="shared" ca="1" si="4"/>
        <v>1.5448680073322614</v>
      </c>
      <c r="I39" s="77">
        <f t="shared" ca="1" si="4"/>
        <v>0.9413722408725328</v>
      </c>
      <c r="J39" s="77">
        <f t="shared" ca="1" si="4"/>
        <v>0.38528067061906068</v>
      </c>
      <c r="K39" s="29"/>
      <c r="L39" s="1"/>
      <c r="M39" s="701" t="s">
        <v>113</v>
      </c>
      <c r="N39" s="701"/>
      <c r="O39" s="715">
        <f>P16</f>
        <v>8.7614664582103305</v>
      </c>
      <c r="P39" s="715">
        <f>H116</f>
        <v>9.7614664582103305</v>
      </c>
      <c r="Q39" s="714">
        <f>(P39-O39)*P38</f>
        <v>157.9672053492458</v>
      </c>
      <c r="R39" s="1"/>
      <c r="AA39" s="65"/>
    </row>
    <row r="40" spans="1:27" ht="16" customHeight="1">
      <c r="B40" s="1"/>
      <c r="C40" s="1" t="s">
        <v>114</v>
      </c>
      <c r="D40" s="1"/>
      <c r="E40" s="28">
        <f ca="1">(E29+E32)/-F35</f>
        <v>1.8231682111305145</v>
      </c>
      <c r="F40" s="28">
        <f ca="1">(F29+F32)/-F35</f>
        <v>2.3629583057954164</v>
      </c>
      <c r="G40" s="28">
        <f ca="1">(G29+G32)/-G35</f>
        <v>3.4914002802237247</v>
      </c>
      <c r="H40" s="28">
        <f ca="1">(H29+H32)/-H35</f>
        <v>4.4627426418626026</v>
      </c>
      <c r="I40" s="28">
        <f ca="1">(I29+I32)/-I35</f>
        <v>5.3268466916637651</v>
      </c>
      <c r="J40" s="28">
        <f ca="1">(J29+J32)/-J35</f>
        <v>5.9933658389428626</v>
      </c>
      <c r="K40" s="5"/>
      <c r="L40" s="1"/>
      <c r="M40" s="701" t="s">
        <v>115</v>
      </c>
      <c r="N40" s="701"/>
      <c r="O40" s="714">
        <f>O38*O39</f>
        <v>715</v>
      </c>
      <c r="P40" s="714">
        <f>P38*P39</f>
        <v>1541.9915765138865</v>
      </c>
      <c r="Q40" s="716">
        <f>Q38+Q39</f>
        <v>826.99157651388634</v>
      </c>
      <c r="R40" s="1"/>
    </row>
    <row r="41" spans="1:27" ht="16" customHeight="1">
      <c r="B41" s="1"/>
      <c r="C41" s="1"/>
      <c r="D41" s="1"/>
      <c r="E41" s="1"/>
      <c r="F41" s="1"/>
      <c r="G41" s="1"/>
      <c r="H41" s="1"/>
      <c r="I41" s="1"/>
      <c r="J41" s="1"/>
      <c r="K41" s="5"/>
      <c r="L41" s="1"/>
      <c r="M41" s="701" t="s">
        <v>116</v>
      </c>
      <c r="N41" s="701"/>
      <c r="O41" s="714">
        <f>O21</f>
        <v>318.5999999999998</v>
      </c>
      <c r="P41" s="717">
        <f ca="1">J38</f>
        <v>60.861710812776295</v>
      </c>
      <c r="Q41" s="716">
        <f ca="1">O41-P41</f>
        <v>257.73828918722347</v>
      </c>
      <c r="R41" s="1"/>
      <c r="S41" s="82"/>
      <c r="T41" s="66"/>
    </row>
    <row r="42" spans="1:27" ht="16" customHeight="1">
      <c r="B42" s="1"/>
      <c r="C42" s="1" t="s">
        <v>117</v>
      </c>
      <c r="D42" s="28"/>
      <c r="E42" s="19">
        <f t="shared" ref="E42:J42" si="5">E185</f>
        <v>118.59999999999989</v>
      </c>
      <c r="F42" s="19">
        <f t="shared" ca="1" si="5"/>
        <v>93.41533478015117</v>
      </c>
      <c r="G42" s="19">
        <f t="shared" ca="1" si="5"/>
        <v>52.041425836526436</v>
      </c>
      <c r="H42" s="19">
        <f t="shared" ca="1" si="5"/>
        <v>1.0545412635467031</v>
      </c>
      <c r="I42" s="19">
        <f t="shared" ca="1" si="5"/>
        <v>-59.097234225201809</v>
      </c>
      <c r="J42" s="19">
        <f t="shared" ca="1" si="5"/>
        <v>-129.13828918722359</v>
      </c>
      <c r="K42" s="5"/>
      <c r="L42" s="1"/>
      <c r="M42" s="701" t="s">
        <v>118</v>
      </c>
      <c r="N42" s="718"/>
      <c r="O42" s="719"/>
      <c r="P42" s="719">
        <f ca="1">J208</f>
        <v>73.842531459292758</v>
      </c>
      <c r="Q42" s="716">
        <f ca="1">-P42</f>
        <v>-73.842531459292758</v>
      </c>
      <c r="R42" s="1"/>
      <c r="T42" s="67"/>
    </row>
    <row r="43" spans="1:27" ht="16" customHeight="1">
      <c r="B43" s="1"/>
      <c r="C43" s="1" t="s">
        <v>119</v>
      </c>
      <c r="D43" s="28"/>
      <c r="E43" s="71">
        <f t="shared" ref="E43:J43" si="6">E191</f>
        <v>199.99999999999991</v>
      </c>
      <c r="F43" s="71">
        <f t="shared" ca="1" si="6"/>
        <v>197.99999999999991</v>
      </c>
      <c r="G43" s="71">
        <f t="shared" ca="1" si="6"/>
        <v>195.99999999999991</v>
      </c>
      <c r="H43" s="71">
        <f t="shared" ca="1" si="6"/>
        <v>193.99999999999991</v>
      </c>
      <c r="I43" s="71">
        <f t="shared" ca="1" si="6"/>
        <v>191.99999999999991</v>
      </c>
      <c r="J43" s="71">
        <f t="shared" ca="1" si="6"/>
        <v>189.99999999999991</v>
      </c>
      <c r="K43" s="5"/>
      <c r="L43" s="1"/>
      <c r="M43" s="701" t="s">
        <v>120</v>
      </c>
      <c r="N43" s="701"/>
      <c r="O43" s="714">
        <f>O40-O41-O42</f>
        <v>396.4000000000002</v>
      </c>
      <c r="P43" s="714">
        <f ca="1">P40-P41-P42</f>
        <v>1407.2873342418175</v>
      </c>
      <c r="Q43" s="716">
        <f ca="1">Q40+Q41+Q42</f>
        <v>1010.8873342418169</v>
      </c>
      <c r="R43" s="1"/>
      <c r="T43" s="67"/>
    </row>
    <row r="44" spans="1:27" ht="16" customHeight="1">
      <c r="B44" s="1"/>
      <c r="C44" s="36" t="s">
        <v>121</v>
      </c>
      <c r="D44" s="28"/>
      <c r="E44" s="19">
        <f t="shared" ref="E44:J44" si="7">E42+E43</f>
        <v>318.5999999999998</v>
      </c>
      <c r="F44" s="19">
        <f t="shared" ca="1" si="7"/>
        <v>291.41533478015106</v>
      </c>
      <c r="G44" s="19">
        <f t="shared" ca="1" si="7"/>
        <v>248.04142583652634</v>
      </c>
      <c r="H44" s="19">
        <f t="shared" ca="1" si="7"/>
        <v>195.05454126354661</v>
      </c>
      <c r="I44" s="19">
        <f t="shared" ca="1" si="7"/>
        <v>132.9027657747981</v>
      </c>
      <c r="J44" s="19">
        <f t="shared" ca="1" si="7"/>
        <v>60.861710812776323</v>
      </c>
      <c r="K44" s="72">
        <f ca="1">E44-J44</f>
        <v>257.73828918722347</v>
      </c>
      <c r="L44" s="1"/>
      <c r="M44" s="720" t="s">
        <v>122</v>
      </c>
      <c r="N44" s="701"/>
      <c r="O44" s="701"/>
      <c r="P44" s="721">
        <f ca="1">P43/O43</f>
        <v>3.5501698643839976</v>
      </c>
      <c r="Q44" s="701"/>
      <c r="R44" s="1"/>
      <c r="T44" s="67"/>
    </row>
    <row r="45" spans="1:27" ht="16" customHeight="1">
      <c r="B45" s="1"/>
      <c r="C45" s="1"/>
      <c r="D45" s="28"/>
      <c r="E45" s="19"/>
      <c r="F45" s="19"/>
      <c r="G45" s="19"/>
      <c r="H45" s="19"/>
      <c r="I45" s="19"/>
      <c r="J45" s="19"/>
      <c r="K45" s="72"/>
      <c r="L45" s="1"/>
      <c r="M45" s="32"/>
      <c r="N45" s="1"/>
      <c r="O45" s="1"/>
      <c r="P45" s="33"/>
      <c r="Q45" s="1"/>
      <c r="R45" s="1"/>
      <c r="T45" s="68"/>
    </row>
    <row r="46" spans="1:27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</row>
    <row r="47" spans="1:27" ht="16" customHeight="1"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5"/>
      <c r="O47" s="34"/>
      <c r="P47" s="34"/>
      <c r="Q47" s="34"/>
      <c r="R47" s="34"/>
    </row>
    <row r="48" spans="1:27" ht="16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</row>
    <row r="49" spans="1:18" ht="16" customHeight="1">
      <c r="B49" s="137" t="s">
        <v>123</v>
      </c>
      <c r="C49" s="138"/>
      <c r="D49" s="138"/>
      <c r="E49" s="138"/>
      <c r="F49" s="138"/>
      <c r="G49" s="139"/>
      <c r="H49" s="36"/>
      <c r="I49" s="36"/>
      <c r="J49" s="36"/>
      <c r="K49" s="1"/>
      <c r="L49" s="1"/>
      <c r="M49" s="1"/>
      <c r="N49" s="1"/>
      <c r="O49" s="1"/>
      <c r="P49" s="1"/>
      <c r="Q49" s="1"/>
      <c r="R49" s="1"/>
    </row>
    <row r="50" spans="1:18" ht="16" customHeight="1">
      <c r="B50" s="37" t="s">
        <v>124</v>
      </c>
      <c r="C50" s="1"/>
      <c r="D50" s="1"/>
      <c r="E50" s="8" t="s">
        <v>46</v>
      </c>
      <c r="F50" s="38">
        <f>F14</f>
        <v>2025</v>
      </c>
      <c r="G50" s="38">
        <f>G14</f>
        <v>2026</v>
      </c>
      <c r="H50" s="38">
        <f>H14</f>
        <v>2027</v>
      </c>
      <c r="I50" s="38">
        <f>I14</f>
        <v>2028</v>
      </c>
      <c r="J50" s="38">
        <f>J14</f>
        <v>2029</v>
      </c>
      <c r="K50" s="1" t="s">
        <v>60</v>
      </c>
      <c r="L50" s="39" t="s">
        <v>125</v>
      </c>
      <c r="M50" s="39"/>
      <c r="N50" s="39"/>
      <c r="O50" s="39"/>
      <c r="P50" s="39"/>
      <c r="Q50" s="39"/>
      <c r="R50" s="1"/>
    </row>
    <row r="51" spans="1:18" ht="16" customHeight="1">
      <c r="B51" s="1"/>
      <c r="C51" s="40" t="s">
        <v>126</v>
      </c>
      <c r="D51" s="1"/>
      <c r="E51" s="1"/>
      <c r="F51" s="1" t="s">
        <v>127</v>
      </c>
      <c r="G51" s="1"/>
      <c r="H51" s="1"/>
      <c r="I51" s="1"/>
      <c r="J51" s="1"/>
      <c r="K51" s="1"/>
      <c r="L51" s="39"/>
      <c r="M51" s="39"/>
      <c r="N51" s="39"/>
      <c r="O51" s="39"/>
      <c r="P51" s="39"/>
      <c r="Q51" s="39"/>
      <c r="R51" s="1"/>
    </row>
    <row r="52" spans="1:18" ht="16" customHeight="1">
      <c r="A52" s="157" t="s">
        <v>66</v>
      </c>
      <c r="B52" s="1"/>
      <c r="C52" s="1" t="s">
        <v>128</v>
      </c>
      <c r="D52" s="1"/>
      <c r="E52" s="1"/>
      <c r="F52" s="298">
        <f>'Operating Build'!R24</f>
        <v>4.7256875115313068E-2</v>
      </c>
      <c r="G52" s="298">
        <f>'Operating Build'!S24</f>
        <v>5.292216559793772E-2</v>
      </c>
      <c r="H52" s="298">
        <f>'Operating Build'!T24</f>
        <v>6.4369549491636091E-2</v>
      </c>
      <c r="I52" s="298">
        <f>'Operating Build'!U24</f>
        <v>7.2180494256994354E-2</v>
      </c>
      <c r="J52" s="298">
        <f>'Operating Build'!V24</f>
        <v>7.4695597511376555E-2</v>
      </c>
      <c r="K52" s="42">
        <f>K15</f>
        <v>6.2231216870647144E-2</v>
      </c>
      <c r="L52" s="757"/>
      <c r="M52" s="752"/>
      <c r="N52" s="752"/>
      <c r="O52" s="752"/>
      <c r="P52" s="752"/>
      <c r="Q52" s="752"/>
      <c r="R52" s="43"/>
    </row>
    <row r="53" spans="1:18" ht="16" customHeight="1">
      <c r="A53" s="157" t="s">
        <v>72</v>
      </c>
      <c r="B53" s="1"/>
      <c r="C53" s="1" t="s">
        <v>129</v>
      </c>
      <c r="D53" s="1"/>
      <c r="E53" s="44">
        <f>E19</f>
        <v>0.19947015723170919</v>
      </c>
      <c r="F53" s="298">
        <f>'Operating Build'!R46</f>
        <v>0.20024542820872493</v>
      </c>
      <c r="G53" s="298">
        <f>'Operating Build'!S46</f>
        <v>0.20040627856070833</v>
      </c>
      <c r="H53" s="298">
        <f>'Operating Build'!T46</f>
        <v>0.20027149676117453</v>
      </c>
      <c r="I53" s="298">
        <f>'Operating Build'!U46</f>
        <v>0.20001975662313567</v>
      </c>
      <c r="J53" s="298">
        <f>'Operating Build'!V46</f>
        <v>0.19976886853608145</v>
      </c>
      <c r="K53" s="42">
        <f>K18</f>
        <v>6.2549169772809554E-2</v>
      </c>
      <c r="L53" s="752"/>
      <c r="M53" s="752"/>
      <c r="N53" s="752"/>
      <c r="O53" s="752"/>
      <c r="P53" s="752"/>
      <c r="Q53" s="752"/>
      <c r="R53" s="43"/>
    </row>
    <row r="54" spans="1:18" ht="16" customHeight="1">
      <c r="A54" s="157" t="s">
        <v>78</v>
      </c>
      <c r="B54" s="1"/>
      <c r="C54" s="1" t="s">
        <v>79</v>
      </c>
      <c r="D54" s="1"/>
      <c r="E54" s="20">
        <f>E22</f>
        <v>0.13910554103387099</v>
      </c>
      <c r="F54" s="298">
        <f>'Operating Build'!R50+'Operating Build'!R53</f>
        <v>0.12985554103387098</v>
      </c>
      <c r="G54" s="298">
        <f>'Operating Build'!S50+'Operating Build'!S53</f>
        <v>0.12060554103387097</v>
      </c>
      <c r="H54" s="298">
        <f>'Operating Build'!T50+'Operating Build'!T53</f>
        <v>0.11677220770053763</v>
      </c>
      <c r="I54" s="298">
        <f>'Operating Build'!U50+'Operating Build'!U53</f>
        <v>0.11293887436720429</v>
      </c>
      <c r="J54" s="298">
        <f>'Operating Build'!V50+'Operating Build'!V53</f>
        <v>0.10910554103387096</v>
      </c>
      <c r="K54" s="42">
        <f>K21</f>
        <v>1.1857921137116811E-2</v>
      </c>
      <c r="L54" s="752"/>
      <c r="M54" s="752"/>
      <c r="N54" s="752"/>
      <c r="O54" s="752"/>
      <c r="P54" s="752"/>
      <c r="Q54" s="752"/>
      <c r="R54" s="43"/>
    </row>
    <row r="55" spans="1:18" ht="16" customHeight="1">
      <c r="B55" s="1"/>
      <c r="C55" s="1" t="s">
        <v>130</v>
      </c>
      <c r="D55" s="1"/>
      <c r="E55" s="1"/>
      <c r="F55" s="1" t="s">
        <v>127</v>
      </c>
      <c r="G55" s="1"/>
      <c r="H55" s="1"/>
      <c r="I55" s="1"/>
      <c r="J55" s="1"/>
      <c r="K55" s="1"/>
      <c r="L55" s="758"/>
      <c r="M55" s="752"/>
      <c r="N55" s="752"/>
      <c r="O55" s="752"/>
      <c r="P55" s="752"/>
      <c r="Q55" s="752"/>
      <c r="R55" s="1"/>
    </row>
    <row r="56" spans="1:18" ht="16" customHeight="1">
      <c r="B56" s="1"/>
      <c r="C56" s="1" t="s">
        <v>131</v>
      </c>
      <c r="D56" s="1"/>
      <c r="E56" s="42">
        <f>E30</f>
        <v>6.3341633657865881E-2</v>
      </c>
      <c r="F56" s="42">
        <f>E30</f>
        <v>6.3341633657865881E-2</v>
      </c>
      <c r="G56" s="42">
        <f>F30</f>
        <v>7.0389887174853949E-2</v>
      </c>
      <c r="H56" s="42">
        <f>G30</f>
        <v>7.9800737526837376E-2</v>
      </c>
      <c r="I56" s="42">
        <f>H30</f>
        <v>8.3499289060636903E-2</v>
      </c>
      <c r="J56" s="42">
        <f>I30</f>
        <v>8.7080882255931399E-2</v>
      </c>
      <c r="K56" s="42">
        <f>K29</f>
        <v>0.14121517823566165</v>
      </c>
      <c r="L56" s="39"/>
      <c r="M56" s="39"/>
      <c r="N56" s="39"/>
      <c r="O56" s="39"/>
      <c r="P56" s="39"/>
      <c r="Q56" s="39"/>
      <c r="R56" s="1"/>
    </row>
    <row r="57" spans="1:18" ht="16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39"/>
      <c r="M57" s="39"/>
      <c r="N57" s="39"/>
      <c r="O57" s="39"/>
      <c r="P57" s="39"/>
      <c r="Q57" s="39"/>
      <c r="R57" s="1"/>
    </row>
    <row r="58" spans="1:18" ht="16" customHeight="1">
      <c r="B58" s="37" t="s">
        <v>95</v>
      </c>
      <c r="C58" s="1"/>
      <c r="D58" s="1"/>
      <c r="E58" s="1"/>
      <c r="F58" s="1"/>
      <c r="G58" s="1"/>
      <c r="H58" s="1"/>
      <c r="I58" s="1"/>
      <c r="J58" s="1"/>
      <c r="K58" s="1"/>
      <c r="L58" s="39"/>
      <c r="M58" s="39"/>
      <c r="N58" s="39"/>
      <c r="O58" s="39"/>
      <c r="P58" s="39"/>
      <c r="Q58" s="39"/>
      <c r="R58" s="1"/>
    </row>
    <row r="59" spans="1:18" ht="16" customHeight="1">
      <c r="A59" s="157" t="s">
        <v>94</v>
      </c>
      <c r="B59" s="1"/>
      <c r="C59" s="1" t="s">
        <v>132</v>
      </c>
      <c r="D59" s="1"/>
      <c r="E59" s="44">
        <f>-E32/E15</f>
        <v>1.970862006894248E-2</v>
      </c>
      <c r="F59" s="298">
        <f>'Operating Build'!Q115</f>
        <v>1.639019204035997E-2</v>
      </c>
      <c r="G59" s="298">
        <f>'Operating Build'!R115</f>
        <v>1.639019204035997E-2</v>
      </c>
      <c r="H59" s="298">
        <f>'Operating Build'!S115</f>
        <v>1.639019204035997E-2</v>
      </c>
      <c r="I59" s="298">
        <f>'Operating Build'!T115</f>
        <v>1.6390192040359974E-2</v>
      </c>
      <c r="J59" s="298">
        <f>'Operating Build'!U115</f>
        <v>1.639019204035997E-2</v>
      </c>
      <c r="K59" s="1"/>
      <c r="L59" s="39"/>
      <c r="M59" s="39"/>
      <c r="N59" s="39"/>
      <c r="O59" s="39"/>
      <c r="P59" s="39"/>
      <c r="Q59" s="39"/>
      <c r="R59" s="1"/>
    </row>
    <row r="60" spans="1:18" ht="16" customHeight="1">
      <c r="B60" s="1"/>
      <c r="C60" s="1" t="s">
        <v>133</v>
      </c>
      <c r="D60" s="1"/>
      <c r="E60" s="1"/>
      <c r="F60" s="23">
        <f>-F59*F15</f>
        <v>-22.11450593929176</v>
      </c>
      <c r="G60" s="23">
        <f>-G59*G15</f>
        <v>-23.284853484727535</v>
      </c>
      <c r="H60" s="23">
        <f>-H59*H15</f>
        <v>-24.783689013518199</v>
      </c>
      <c r="I60" s="23">
        <f>-I59*I15</f>
        <v>-26.572587936025592</v>
      </c>
      <c r="J60" s="23">
        <f>-J59*J15</f>
        <v>-28.557443269330612</v>
      </c>
      <c r="K60" s="1"/>
      <c r="L60" s="39"/>
      <c r="M60" s="39"/>
      <c r="N60" s="39"/>
      <c r="O60" s="39"/>
      <c r="P60" s="39"/>
      <c r="Q60" s="39"/>
      <c r="R60" s="1"/>
    </row>
    <row r="61" spans="1:18" ht="16" customHeight="1">
      <c r="B61" s="1"/>
      <c r="C61" s="1" t="s">
        <v>134</v>
      </c>
      <c r="D61" s="1"/>
      <c r="E61" s="1"/>
      <c r="F61" s="23">
        <f>F161</f>
        <v>0</v>
      </c>
      <c r="G61" s="23">
        <f>G161</f>
        <v>0</v>
      </c>
      <c r="H61" s="23">
        <f>H161</f>
        <v>0</v>
      </c>
      <c r="I61" s="23">
        <f>I161</f>
        <v>0</v>
      </c>
      <c r="J61" s="23">
        <f>J161</f>
        <v>0</v>
      </c>
      <c r="K61" s="1"/>
      <c r="L61" s="39"/>
      <c r="M61" s="1"/>
      <c r="N61" s="1"/>
      <c r="O61" s="1"/>
      <c r="P61" s="1"/>
      <c r="Q61" s="39"/>
      <c r="R61" s="1"/>
    </row>
    <row r="62" spans="1:18" ht="16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39"/>
      <c r="M62" s="39"/>
      <c r="N62" s="39"/>
      <c r="O62" s="39"/>
      <c r="P62" s="39"/>
      <c r="Q62" s="39"/>
      <c r="R62" s="1"/>
    </row>
    <row r="63" spans="1:18" ht="16" customHeight="1">
      <c r="B63" s="37" t="s">
        <v>135</v>
      </c>
      <c r="C63" s="1"/>
      <c r="D63" s="1"/>
      <c r="E63" s="1"/>
      <c r="F63" s="1"/>
      <c r="G63" s="1"/>
      <c r="H63" s="1"/>
      <c r="I63" s="1"/>
      <c r="J63" s="1"/>
      <c r="K63" s="1"/>
      <c r="L63" s="39"/>
      <c r="M63" s="39"/>
      <c r="N63" s="39"/>
      <c r="O63" s="39"/>
      <c r="P63" s="39"/>
      <c r="Q63" s="39"/>
      <c r="R63" s="1"/>
    </row>
    <row r="64" spans="1:18" ht="16" customHeight="1">
      <c r="A64" s="157" t="s">
        <v>97</v>
      </c>
      <c r="B64" s="1"/>
      <c r="C64" s="1" t="s">
        <v>136</v>
      </c>
      <c r="D64" s="1"/>
      <c r="E64" s="20">
        <f>E65/E15</f>
        <v>8.3536251138428885E-2</v>
      </c>
      <c r="F64" s="298">
        <f>'Operating Build'!R93</f>
        <v>8.4498494057103968E-2</v>
      </c>
      <c r="G64" s="298">
        <f>'Operating Build'!S93</f>
        <v>8.5239324162841301E-2</v>
      </c>
      <c r="H64" s="298">
        <f>'Operating Build'!T93</f>
        <v>8.5473743672860272E-2</v>
      </c>
      <c r="I64" s="298">
        <f>'Operating Build'!U93</f>
        <v>8.5666016038610557E-2</v>
      </c>
      <c r="J64" s="298">
        <f>'Operating Build'!V93</f>
        <v>8.5858595449726155E-2</v>
      </c>
      <c r="K64" s="1"/>
      <c r="L64" s="1"/>
      <c r="M64" s="1"/>
      <c r="N64" s="1"/>
      <c r="O64" s="1"/>
      <c r="P64" s="1"/>
      <c r="Q64" s="1"/>
      <c r="R64" s="1"/>
    </row>
    <row r="65" spans="1:18" ht="16" customHeight="1">
      <c r="B65" s="1"/>
      <c r="C65" s="1" t="s">
        <v>137</v>
      </c>
      <c r="D65" s="1"/>
      <c r="E65" s="299">
        <f>'Operating Build'!Q92</f>
        <v>107.62544507932273</v>
      </c>
      <c r="F65" s="46">
        <f>F64*F15</f>
        <v>114.00979586362401</v>
      </c>
      <c r="G65" s="46">
        <f>G64*G15</f>
        <v>121.09590719751958</v>
      </c>
      <c r="H65" s="46">
        <f>H64*H15</f>
        <v>129.24526306909661</v>
      </c>
      <c r="I65" s="46">
        <f>I64*I15</f>
        <v>138.8859714827943</v>
      </c>
      <c r="J65" s="46">
        <f>J64*J15</f>
        <v>149.59568275358123</v>
      </c>
      <c r="K65" s="14">
        <f>(J65/E65)^(1/5)-1</f>
        <v>6.8072713118045858E-2</v>
      </c>
      <c r="L65" s="1"/>
      <c r="M65" s="1"/>
      <c r="N65" s="1"/>
      <c r="O65" s="1"/>
      <c r="P65" s="1"/>
      <c r="Q65" s="1"/>
      <c r="R65" s="1"/>
    </row>
    <row r="66" spans="1:18" ht="16" customHeight="1">
      <c r="B66" s="1"/>
      <c r="C66" s="1" t="s">
        <v>138</v>
      </c>
      <c r="D66" s="1"/>
      <c r="E66" s="1"/>
      <c r="F66" s="23">
        <f>E65-F65</f>
        <v>-6.3843507843012759</v>
      </c>
      <c r="G66" s="23">
        <f>F65-G65</f>
        <v>-7.0861113338955732</v>
      </c>
      <c r="H66" s="23">
        <f>G65-H65</f>
        <v>-8.1493558715770291</v>
      </c>
      <c r="I66" s="23">
        <f>H65-I65</f>
        <v>-9.6407084136976948</v>
      </c>
      <c r="J66" s="23">
        <f>I65-J65</f>
        <v>-10.709711270786926</v>
      </c>
      <c r="K66" s="1"/>
      <c r="L66" s="1"/>
      <c r="M66" s="1"/>
      <c r="N66" s="1"/>
      <c r="O66" s="1"/>
      <c r="P66" s="1"/>
      <c r="Q66" s="1"/>
      <c r="R66" s="1"/>
    </row>
    <row r="67" spans="1:18" ht="16" customHeight="1">
      <c r="B67" s="1"/>
      <c r="C67" s="1" t="s">
        <v>139</v>
      </c>
      <c r="D67" s="1"/>
      <c r="E67" s="1"/>
      <c r="F67" s="23">
        <f>F169</f>
        <v>0</v>
      </c>
      <c r="G67" s="23">
        <f>G169</f>
        <v>0</v>
      </c>
      <c r="H67" s="23">
        <f>H169</f>
        <v>0</v>
      </c>
      <c r="I67" s="23">
        <f>I169</f>
        <v>0</v>
      </c>
      <c r="J67" s="23">
        <f>J169</f>
        <v>0</v>
      </c>
      <c r="K67" s="1"/>
      <c r="L67" s="39"/>
      <c r="M67" s="1"/>
      <c r="N67" s="1"/>
      <c r="O67" s="1"/>
      <c r="P67" s="1"/>
      <c r="Q67" s="39"/>
      <c r="R67" s="1"/>
    </row>
    <row r="68" spans="1:18" ht="16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</row>
    <row r="69" spans="1:18" ht="16" customHeight="1">
      <c r="A69" s="157" t="s">
        <v>100</v>
      </c>
      <c r="B69" s="37" t="s">
        <v>140</v>
      </c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</row>
    <row r="70" spans="1:18" ht="16" customHeight="1">
      <c r="B70" s="1"/>
      <c r="C70" s="1" t="s">
        <v>141</v>
      </c>
      <c r="D70" s="1"/>
      <c r="E70" s="31">
        <f>E182</f>
        <v>118.59999999999989</v>
      </c>
      <c r="F70" s="19">
        <f ca="1">F185</f>
        <v>93.41533478015117</v>
      </c>
      <c r="G70" s="19">
        <f ca="1">G185</f>
        <v>52.041425836526436</v>
      </c>
      <c r="H70" s="19">
        <f ca="1">H185</f>
        <v>1.0545412635467031</v>
      </c>
      <c r="I70" s="19">
        <f ca="1">I185</f>
        <v>-59.097234225201809</v>
      </c>
      <c r="J70" s="19">
        <f ca="1">J185</f>
        <v>-129.13828918722359</v>
      </c>
      <c r="K70" s="1"/>
      <c r="L70" s="757"/>
      <c r="M70" s="752"/>
      <c r="N70" s="752"/>
      <c r="O70" s="752"/>
      <c r="P70" s="752"/>
      <c r="Q70" s="752"/>
      <c r="R70" s="1"/>
    </row>
    <row r="71" spans="1:18" ht="16" customHeight="1">
      <c r="B71" s="1"/>
      <c r="C71" s="1" t="s">
        <v>142</v>
      </c>
      <c r="D71" s="309">
        <v>0</v>
      </c>
      <c r="E71" s="1"/>
      <c r="F71" s="48">
        <f ca="1">MAX(AVERAGE(E70:F70)*F$74,0)</f>
        <v>6.4802593083220561</v>
      </c>
      <c r="G71" s="48">
        <f ca="1">MAX(AVERAGE(F70:G70)*G$74,0)</f>
        <v>3.7036145841933217</v>
      </c>
      <c r="H71" s="48">
        <f ca="1">MAX(AVERAGE(G70:H70)*H$74,0)</f>
        <v>1.2935272689899255</v>
      </c>
      <c r="I71" s="48">
        <f ca="1">MAX(AVERAGE(H70:I70)*I$74,0)</f>
        <v>0</v>
      </c>
      <c r="J71" s="48">
        <f ca="1">MAX(AVERAGE(I70:J70)*J$74,0)</f>
        <v>0</v>
      </c>
      <c r="K71" s="1"/>
      <c r="L71" s="752"/>
      <c r="M71" s="752"/>
      <c r="N71" s="752"/>
      <c r="O71" s="752"/>
      <c r="P71" s="752"/>
      <c r="Q71" s="752"/>
      <c r="R71" s="1"/>
    </row>
    <row r="72" spans="1:18" ht="16" customHeight="1">
      <c r="B72" s="1"/>
      <c r="C72" s="322" t="s">
        <v>143</v>
      </c>
      <c r="D72" s="309"/>
      <c r="E72" s="1"/>
      <c r="F72" s="345">
        <f>IF(SOFR="Flat",SOFR!$S$20,SOFR!S20)</f>
        <v>4.2380099999999997E-2</v>
      </c>
      <c r="G72" s="345">
        <f>IF(SOFR="Flat",SOFR!$S$20,SOFR!T20)</f>
        <v>3.2173924999999999E-2</v>
      </c>
      <c r="H72" s="345">
        <f>IF(SOFR="Flat",SOFR!$S$20,SOFR!U20)</f>
        <v>2.9974125000000001E-2</v>
      </c>
      <c r="I72" s="345">
        <f>IF(SOFR="Flat",SOFR!$S$20,SOFR!V20)</f>
        <v>3.1476808333333335E-2</v>
      </c>
      <c r="J72" s="345">
        <f>IF(SOFR="Flat",SOFR!$S$20,SOFR!W20)</f>
        <v>3.3048000000000008E-2</v>
      </c>
      <c r="K72" s="1"/>
      <c r="L72" s="323"/>
      <c r="M72" s="185"/>
      <c r="N72" s="185"/>
      <c r="O72" s="185"/>
      <c r="P72" s="185"/>
      <c r="Q72" s="185"/>
      <c r="R72" s="1"/>
    </row>
    <row r="73" spans="1:18" ht="16" customHeight="1">
      <c r="B73" s="1"/>
      <c r="C73" s="322" t="s">
        <v>144</v>
      </c>
      <c r="D73" s="309"/>
      <c r="E73" s="1"/>
      <c r="F73" s="324">
        <v>187.5</v>
      </c>
      <c r="G73" s="324">
        <v>187.5</v>
      </c>
      <c r="H73" s="324">
        <v>187.5</v>
      </c>
      <c r="I73" s="324">
        <v>187.5</v>
      </c>
      <c r="J73" s="324">
        <v>187.5</v>
      </c>
      <c r="K73" s="1"/>
      <c r="L73" s="185"/>
      <c r="M73" s="185"/>
      <c r="N73" s="185"/>
      <c r="O73" s="185"/>
      <c r="P73" s="185"/>
      <c r="Q73" s="185"/>
      <c r="R73" s="1"/>
    </row>
    <row r="74" spans="1:18" ht="16" customHeight="1">
      <c r="B74" s="1"/>
      <c r="C74" s="322" t="s">
        <v>145</v>
      </c>
      <c r="D74" s="309"/>
      <c r="E74" s="1"/>
      <c r="F74" s="14">
        <f>F73/10000+F72</f>
        <v>6.1130099999999993E-2</v>
      </c>
      <c r="G74" s="14">
        <f>G73/10000+G72</f>
        <v>5.0923924999999995E-2</v>
      </c>
      <c r="H74" s="14">
        <f>H73/10000+H72</f>
        <v>4.8724125E-2</v>
      </c>
      <c r="I74" s="14">
        <f>I73/10000+I72</f>
        <v>5.0226808333333331E-2</v>
      </c>
      <c r="J74" s="14">
        <f>J73/10000+J72</f>
        <v>5.1798000000000011E-2</v>
      </c>
      <c r="K74" s="1"/>
      <c r="L74" s="185"/>
      <c r="M74" s="185"/>
      <c r="N74" s="185"/>
      <c r="O74" s="185"/>
      <c r="P74" s="185"/>
      <c r="Q74" s="185"/>
      <c r="R74" s="1"/>
    </row>
    <row r="75" spans="1:18" ht="9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</row>
    <row r="76" spans="1:18" ht="16" customHeight="1">
      <c r="B76" s="1"/>
      <c r="C76" s="1" t="s">
        <v>146</v>
      </c>
      <c r="D76" s="1"/>
      <c r="E76" s="31">
        <f>E188</f>
        <v>199.99999999999991</v>
      </c>
      <c r="F76" s="19">
        <f ca="1">F191</f>
        <v>197.99999999999991</v>
      </c>
      <c r="G76" s="19">
        <f ca="1">G191</f>
        <v>195.99999999999991</v>
      </c>
      <c r="H76" s="19">
        <f ca="1">H191</f>
        <v>193.99999999999991</v>
      </c>
      <c r="I76" s="19">
        <f ca="1">I191</f>
        <v>191.99999999999991</v>
      </c>
      <c r="J76" s="19">
        <f ca="1">J191</f>
        <v>189.99999999999991</v>
      </c>
      <c r="K76" s="1"/>
      <c r="L76" s="80"/>
      <c r="M76" s="80"/>
      <c r="N76" s="80"/>
      <c r="O76" s="80"/>
      <c r="P76" s="80"/>
      <c r="Q76" s="80"/>
      <c r="R76" s="1"/>
    </row>
    <row r="77" spans="1:18" ht="16" customHeight="1">
      <c r="B77" s="1"/>
      <c r="C77" s="1" t="s">
        <v>142</v>
      </c>
      <c r="D77" s="309">
        <v>0</v>
      </c>
      <c r="E77" s="1"/>
      <c r="F77" s="48">
        <f ca="1">AVERAGE(E76:F76)*F$81</f>
        <v>24.353639899999987</v>
      </c>
      <c r="G77" s="48">
        <f ca="1">AVERAGE(F76:G76)*G$81</f>
        <v>22.098263224999993</v>
      </c>
      <c r="H77" s="48">
        <f ca="1">AVERAGE(G76:H76)*H$81</f>
        <v>21.444954374999991</v>
      </c>
      <c r="I77" s="48">
        <f ca="1">AVERAGE(H76:I76)*I$81</f>
        <v>21.515024008333327</v>
      </c>
      <c r="J77" s="48">
        <f ca="1">AVERAGE(I76:J76)*J$81</f>
        <v>21.592167999999994</v>
      </c>
      <c r="K77" s="1"/>
      <c r="L77" s="80"/>
      <c r="M77" s="80"/>
      <c r="N77" s="80"/>
      <c r="O77" s="80"/>
      <c r="P77" s="80"/>
      <c r="Q77" s="80"/>
      <c r="R77" s="1"/>
    </row>
    <row r="78" spans="1:18" ht="16" customHeight="1">
      <c r="B78" s="1"/>
      <c r="C78" s="1" t="s">
        <v>147</v>
      </c>
      <c r="D78" s="309">
        <v>0</v>
      </c>
      <c r="E78" s="1"/>
      <c r="F78" s="48">
        <f ca="1">AVERAGE(E76:F76)*$D78</f>
        <v>0</v>
      </c>
      <c r="G78" s="48">
        <f ca="1">AVERAGE(F76:G76)*$D78</f>
        <v>0</v>
      </c>
      <c r="H78" s="48">
        <f ca="1">AVERAGE(G76:H76)*$D78</f>
        <v>0</v>
      </c>
      <c r="I78" s="48">
        <f ca="1">AVERAGE(H76:I76)*$D78</f>
        <v>0</v>
      </c>
      <c r="J78" s="48">
        <f ca="1">AVERAGE(I76:J76)*$D78</f>
        <v>0</v>
      </c>
      <c r="K78" s="1"/>
      <c r="L78" s="1"/>
      <c r="M78" s="1"/>
      <c r="N78" s="1"/>
      <c r="O78" s="1"/>
      <c r="P78" s="1"/>
      <c r="Q78" s="1"/>
      <c r="R78" s="1"/>
    </row>
    <row r="79" spans="1:18" ht="16" customHeight="1">
      <c r="B79" s="1"/>
      <c r="C79" s="322" t="s">
        <v>143</v>
      </c>
      <c r="D79" s="309"/>
      <c r="E79" s="1"/>
      <c r="F79" s="345">
        <f>F72</f>
        <v>4.2380099999999997E-2</v>
      </c>
      <c r="G79" s="345">
        <f>G72</f>
        <v>3.2173924999999999E-2</v>
      </c>
      <c r="H79" s="345">
        <f>H72</f>
        <v>2.9974125000000001E-2</v>
      </c>
      <c r="I79" s="345">
        <f>I72</f>
        <v>3.1476808333333335E-2</v>
      </c>
      <c r="J79" s="345">
        <f>J72</f>
        <v>3.3048000000000008E-2</v>
      </c>
      <c r="K79" s="1"/>
      <c r="L79" s="323"/>
      <c r="M79" s="1"/>
      <c r="N79" s="1"/>
      <c r="O79" s="1"/>
      <c r="P79" s="1"/>
      <c r="Q79" s="1"/>
      <c r="R79" s="1"/>
    </row>
    <row r="80" spans="1:18" ht="16" customHeight="1">
      <c r="B80" s="1"/>
      <c r="C80" s="322" t="s">
        <v>144</v>
      </c>
      <c r="D80" s="309"/>
      <c r="E80" s="1"/>
      <c r="F80" s="324">
        <v>800</v>
      </c>
      <c r="G80" s="324">
        <v>800</v>
      </c>
      <c r="H80" s="324">
        <v>800</v>
      </c>
      <c r="I80" s="324">
        <v>800</v>
      </c>
      <c r="J80" s="324">
        <v>800</v>
      </c>
      <c r="K80" s="1"/>
      <c r="L80" s="1"/>
      <c r="M80" s="1"/>
      <c r="N80" s="1"/>
      <c r="O80" s="1"/>
      <c r="P80" s="1"/>
      <c r="Q80" s="1"/>
      <c r="R80" s="1"/>
    </row>
    <row r="81" spans="1:27" ht="16" customHeight="1">
      <c r="B81" s="1"/>
      <c r="C81" s="322" t="s">
        <v>145</v>
      </c>
      <c r="D81" s="309"/>
      <c r="E81" s="1"/>
      <c r="F81" s="14">
        <f>F80/10000+F79</f>
        <v>0.12238009999999999</v>
      </c>
      <c r="G81" s="14">
        <f>G80/10000+G79</f>
        <v>0.11217392500000001</v>
      </c>
      <c r="H81" s="14">
        <f>H80/10000+H79</f>
        <v>0.10997412500000001</v>
      </c>
      <c r="I81" s="14">
        <f>I80/10000+I79</f>
        <v>0.11147680833333334</v>
      </c>
      <c r="J81" s="14">
        <f>J80/10000+J79</f>
        <v>0.11304800000000001</v>
      </c>
      <c r="K81" s="1"/>
      <c r="L81" s="1"/>
      <c r="M81" s="1"/>
      <c r="N81" s="1"/>
      <c r="O81" s="1"/>
      <c r="P81" s="1"/>
      <c r="Q81" s="1"/>
      <c r="R81" s="1"/>
    </row>
    <row r="82" spans="1:27" ht="16" customHeight="1">
      <c r="B82" s="1"/>
      <c r="C82" s="322"/>
      <c r="D82" s="309"/>
      <c r="E82" s="1"/>
      <c r="F82" s="14"/>
      <c r="G82" s="14"/>
      <c r="H82" s="14"/>
      <c r="I82" s="14"/>
      <c r="J82" s="14"/>
      <c r="K82" s="1"/>
      <c r="L82" s="1"/>
      <c r="M82" s="1"/>
      <c r="N82" s="1"/>
      <c r="O82" s="1"/>
      <c r="P82" s="1"/>
      <c r="Q82" s="1"/>
      <c r="R82" s="1"/>
    </row>
    <row r="83" spans="1:27" ht="16" customHeight="1">
      <c r="B83" s="1"/>
      <c r="C83" s="1" t="s">
        <v>148</v>
      </c>
      <c r="D83" s="1"/>
      <c r="E83" s="1"/>
      <c r="F83" s="300">
        <f ca="1">F71+F77+F78</f>
        <v>30.833899208322045</v>
      </c>
      <c r="G83" s="325">
        <f ca="1">G71+G77+G78</f>
        <v>25.801877809193314</v>
      </c>
      <c r="H83" s="325">
        <f ca="1">H71+H77+H78</f>
        <v>22.738481643989918</v>
      </c>
      <c r="I83" s="325">
        <f ca="1">I71+I77+I78</f>
        <v>21.515024008333327</v>
      </c>
      <c r="J83" s="325">
        <f ca="1">J71+J77+J78</f>
        <v>21.592167999999994</v>
      </c>
      <c r="K83" s="1"/>
      <c r="L83" s="1"/>
      <c r="M83" s="1"/>
      <c r="N83" s="1"/>
      <c r="O83" s="1"/>
      <c r="P83" s="1"/>
      <c r="Q83" s="1"/>
      <c r="R83" s="1"/>
    </row>
    <row r="84" spans="1:27" ht="16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</row>
    <row r="85" spans="1:27" ht="16" customHeight="1">
      <c r="A85" s="157" t="s">
        <v>102</v>
      </c>
      <c r="B85" s="37" t="s">
        <v>149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</row>
    <row r="86" spans="1:27" ht="16" customHeight="1">
      <c r="B86" s="1"/>
      <c r="C86" s="1" t="s">
        <v>111</v>
      </c>
      <c r="D86" s="1"/>
      <c r="E86" s="10">
        <f t="shared" ref="E86:J86" si="8">E29</f>
        <v>81.607343178261758</v>
      </c>
      <c r="F86" s="10">
        <f t="shared" si="8"/>
        <v>94.973724173655057</v>
      </c>
      <c r="G86" s="10">
        <f t="shared" si="8"/>
        <v>113.36953689804338</v>
      </c>
      <c r="H86" s="10">
        <f t="shared" si="8"/>
        <v>126.25968065736205</v>
      </c>
      <c r="I86" s="10">
        <f t="shared" si="8"/>
        <v>141.17982239588247</v>
      </c>
      <c r="J86" s="10">
        <f t="shared" si="8"/>
        <v>157.9672053492458</v>
      </c>
      <c r="K86" s="1"/>
      <c r="L86" s="1"/>
      <c r="M86" s="1"/>
      <c r="N86" s="1"/>
      <c r="O86" s="1"/>
      <c r="P86" s="1"/>
      <c r="Q86" s="1"/>
      <c r="R86" s="1"/>
      <c r="V86" s="165"/>
      <c r="W86" s="165"/>
      <c r="X86" s="165"/>
    </row>
    <row r="87" spans="1:27" ht="16" customHeight="1">
      <c r="B87" s="1"/>
      <c r="C87" s="1" t="s">
        <v>150</v>
      </c>
      <c r="D87" s="47"/>
      <c r="E87" s="307">
        <f>'Operating Build'!Q67</f>
        <v>-34.643386510614739</v>
      </c>
      <c r="F87" s="23">
        <f>-F93*F15</f>
        <v>-36.280524700518384</v>
      </c>
      <c r="G87" s="23">
        <f>-G93*G15</f>
        <v>-38.20056863669928</v>
      </c>
      <c r="H87" s="23">
        <f>-H93*H15</f>
        <v>-40.659522030167942</v>
      </c>
      <c r="I87" s="23">
        <f>-I93*I15</f>
        <v>-43.594346426558616</v>
      </c>
      <c r="J87" s="23">
        <f>-J93*J15</f>
        <v>-46.850652181008357</v>
      </c>
      <c r="K87" s="1"/>
      <c r="L87" s="1"/>
      <c r="M87" s="1"/>
      <c r="N87" s="1"/>
      <c r="O87" s="1"/>
      <c r="P87" s="1"/>
      <c r="Q87" s="1"/>
      <c r="R87" s="1"/>
      <c r="V87" s="163"/>
      <c r="W87" s="163"/>
      <c r="X87" s="163"/>
      <c r="Y87" s="163"/>
      <c r="Z87" s="163"/>
      <c r="AA87" s="163"/>
    </row>
    <row r="88" spans="1:27" ht="20.25" customHeight="1">
      <c r="B88" s="1"/>
      <c r="C88" s="1" t="s">
        <v>151</v>
      </c>
      <c r="D88" s="1"/>
      <c r="E88" s="1"/>
      <c r="F88" s="49">
        <f ca="1">-MIN(F83,0.3*F86)</f>
        <v>-28.492117252096516</v>
      </c>
      <c r="G88" s="49">
        <f ca="1">-MIN(G83,0.3*G86)</f>
        <v>-25.801877809193314</v>
      </c>
      <c r="H88" s="49">
        <f ca="1">-MIN(H83,0.3*H86)</f>
        <v>-22.738481643989918</v>
      </c>
      <c r="I88" s="49">
        <f ca="1">-MIN(I83,0.3*I86)</f>
        <v>-21.515024008333327</v>
      </c>
      <c r="J88" s="49">
        <f ca="1">-MIN(J83,0.3*J86)</f>
        <v>-21.592167999999994</v>
      </c>
      <c r="K88" s="1"/>
      <c r="L88" s="1"/>
      <c r="M88" s="1"/>
      <c r="N88" s="1"/>
      <c r="O88" s="1"/>
      <c r="P88" s="1"/>
      <c r="Q88" s="1"/>
      <c r="R88" s="1"/>
      <c r="V88" s="163"/>
      <c r="W88" s="163"/>
      <c r="X88" s="163"/>
      <c r="Y88" s="163"/>
      <c r="Z88" s="163"/>
      <c r="AA88" s="163"/>
    </row>
    <row r="89" spans="1:27" ht="19" customHeight="1">
      <c r="B89" s="1"/>
      <c r="C89" s="1" t="s">
        <v>152</v>
      </c>
      <c r="D89" s="1"/>
      <c r="E89" s="1"/>
      <c r="F89" s="10">
        <f ca="1">SUM(F86:F88)</f>
        <v>30.201082221040156</v>
      </c>
      <c r="G89" s="10">
        <f ca="1">SUM(G86:G88)</f>
        <v>49.367090452150791</v>
      </c>
      <c r="H89" s="10">
        <f ca="1">SUM(H86:H88)</f>
        <v>62.861676983204191</v>
      </c>
      <c r="I89" s="10">
        <f ca="1">SUM(I86:I88)</f>
        <v>76.070451960990525</v>
      </c>
      <c r="J89" s="10">
        <f ca="1">SUM(J86:J88)</f>
        <v>89.524385168237444</v>
      </c>
      <c r="K89" s="1"/>
      <c r="L89" s="1"/>
      <c r="M89" s="1"/>
      <c r="N89" s="1"/>
      <c r="O89" s="1"/>
      <c r="P89" s="1"/>
      <c r="Q89" s="1"/>
      <c r="R89" s="1"/>
    </row>
    <row r="90" spans="1:27" ht="16" customHeight="1">
      <c r="B90" s="1"/>
      <c r="C90" s="1" t="s">
        <v>153</v>
      </c>
      <c r="D90" s="47"/>
      <c r="E90" s="50"/>
      <c r="F90" s="310">
        <v>0.28000000000000003</v>
      </c>
      <c r="G90" s="50">
        <f>F90</f>
        <v>0.28000000000000003</v>
      </c>
      <c r="H90" s="50">
        <f>G90</f>
        <v>0.28000000000000003</v>
      </c>
      <c r="I90" s="50">
        <f>H90</f>
        <v>0.28000000000000003</v>
      </c>
      <c r="J90" s="50">
        <f>I90</f>
        <v>0.28000000000000003</v>
      </c>
      <c r="K90" s="1"/>
      <c r="L90" s="753"/>
      <c r="M90" s="752"/>
      <c r="N90" s="752"/>
      <c r="O90" s="752"/>
      <c r="P90" s="752"/>
      <c r="Q90" s="752"/>
      <c r="R90" s="1"/>
      <c r="V90" s="163"/>
      <c r="W90" s="163"/>
      <c r="X90" s="163"/>
      <c r="Y90" s="163"/>
      <c r="Z90" s="163"/>
    </row>
    <row r="91" spans="1:27" ht="16" customHeight="1">
      <c r="B91" s="1"/>
      <c r="C91" s="1" t="s">
        <v>154</v>
      </c>
      <c r="D91" s="1"/>
      <c r="E91" s="1"/>
      <c r="F91" s="23">
        <f ca="1">MAX(F89*F90,0)</f>
        <v>8.4563030218912445</v>
      </c>
      <c r="G91" s="23">
        <f ca="1">MAX(G89*G90,0)</f>
        <v>13.822785326602222</v>
      </c>
      <c r="H91" s="23">
        <f ca="1">MAX(H89*H90,0)</f>
        <v>17.601269555297176</v>
      </c>
      <c r="I91" s="23">
        <f ca="1">MAX(I89*I90,0)</f>
        <v>21.299726549077349</v>
      </c>
      <c r="J91" s="23">
        <f ca="1">MAX(J89*J90,0)</f>
        <v>25.066827847106488</v>
      </c>
      <c r="K91" s="1"/>
      <c r="L91" s="752"/>
      <c r="M91" s="752"/>
      <c r="N91" s="752"/>
      <c r="O91" s="752"/>
      <c r="P91" s="752"/>
      <c r="Q91" s="752"/>
      <c r="R91" s="1"/>
      <c r="V91" s="163"/>
      <c r="W91" s="163"/>
      <c r="X91" s="163"/>
      <c r="Y91" s="163"/>
      <c r="Z91" s="163"/>
      <c r="AA91" s="163"/>
    </row>
    <row r="92" spans="1:27" ht="15" customHeight="1">
      <c r="B92" s="1"/>
      <c r="C92" s="1"/>
      <c r="D92" s="1"/>
      <c r="E92" s="1"/>
      <c r="F92" s="51"/>
      <c r="G92" s="51"/>
      <c r="H92" s="51"/>
      <c r="I92" s="51"/>
      <c r="J92" s="51"/>
      <c r="K92" s="1"/>
      <c r="L92" s="752"/>
      <c r="M92" s="752"/>
      <c r="N92" s="752"/>
      <c r="O92" s="752"/>
      <c r="P92" s="752"/>
      <c r="Q92" s="752"/>
      <c r="R92" s="1"/>
    </row>
    <row r="93" spans="1:27" ht="15" customHeight="1">
      <c r="B93" s="1"/>
      <c r="C93" s="55" t="s">
        <v>155</v>
      </c>
      <c r="D93" s="55"/>
      <c r="E93" s="135">
        <f>-E87/E15</f>
        <v>2.6889353476805E-2</v>
      </c>
      <c r="F93" s="346">
        <f>-'Operating Build'!R68</f>
        <v>2.6889353476805E-2</v>
      </c>
      <c r="G93" s="346">
        <f>-'Operating Build'!S68</f>
        <v>2.6889353476805E-2</v>
      </c>
      <c r="H93" s="346">
        <f>-'Operating Build'!T68</f>
        <v>2.6889353476805E-2</v>
      </c>
      <c r="I93" s="346">
        <f>-'Operating Build'!U68</f>
        <v>2.6889353476805E-2</v>
      </c>
      <c r="J93" s="346">
        <f>-'Operating Build'!V68</f>
        <v>2.6889353476805E-2</v>
      </c>
      <c r="K93" s="1"/>
      <c r="L93" s="45"/>
      <c r="M93" s="39"/>
      <c r="N93" s="39"/>
      <c r="O93" s="39"/>
      <c r="P93" s="39"/>
      <c r="Q93" s="39"/>
      <c r="R93" s="1"/>
      <c r="AA93" s="162"/>
    </row>
    <row r="94" spans="1:27" ht="15" customHeight="1">
      <c r="B94" s="1"/>
      <c r="C94" s="55"/>
      <c r="D94" s="55"/>
      <c r="E94" s="135"/>
      <c r="F94" s="136"/>
      <c r="G94" s="136"/>
      <c r="H94" s="136"/>
      <c r="I94" s="136"/>
      <c r="J94" s="136"/>
      <c r="K94" s="1"/>
      <c r="L94" s="45"/>
      <c r="M94" s="39"/>
      <c r="N94" s="39"/>
      <c r="O94" s="39"/>
      <c r="P94" s="39"/>
      <c r="Q94" s="39"/>
      <c r="R94" s="1"/>
    </row>
    <row r="95" spans="1:27" ht="16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</row>
    <row r="96" spans="1:27" ht="16" customHeight="1">
      <c r="B96" s="137" t="s">
        <v>156</v>
      </c>
      <c r="C96" s="138"/>
      <c r="D96" s="138"/>
      <c r="E96" s="138"/>
      <c r="F96" s="140"/>
      <c r="G96" s="14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</row>
    <row r="97" spans="1:18" ht="16" customHeight="1">
      <c r="B97" s="37" t="s">
        <v>157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</row>
    <row r="98" spans="1:18" ht="16" customHeight="1">
      <c r="B98" s="1"/>
      <c r="C98" s="1" t="s">
        <v>158</v>
      </c>
      <c r="D98" s="1"/>
      <c r="E98" s="1"/>
      <c r="F98" s="1"/>
      <c r="G98" s="1"/>
      <c r="H98" s="10">
        <f>E29</f>
        <v>81.607343178261758</v>
      </c>
      <c r="I98" s="1"/>
      <c r="J98" s="1"/>
      <c r="K98" s="1"/>
      <c r="L98" s="1"/>
      <c r="M98" s="1"/>
      <c r="N98" s="1"/>
      <c r="O98" s="1"/>
      <c r="P98" s="1"/>
      <c r="Q98" s="1"/>
      <c r="R98" s="1"/>
    </row>
    <row r="99" spans="1:18" ht="16" customHeight="1">
      <c r="A99" s="157" t="s">
        <v>71</v>
      </c>
      <c r="B99" s="1"/>
      <c r="C99" s="1" t="s">
        <v>159</v>
      </c>
      <c r="D99" s="1"/>
      <c r="E99" s="1"/>
      <c r="F99" s="1"/>
      <c r="G99" s="1"/>
      <c r="H99" s="301">
        <f>H100/H98</f>
        <v>8.7614664582103305</v>
      </c>
      <c r="I99" s="1"/>
      <c r="J99" s="1"/>
      <c r="K99" s="1"/>
      <c r="L99" s="1"/>
      <c r="M99" s="1"/>
      <c r="N99" s="1"/>
      <c r="O99" s="1"/>
      <c r="P99" s="1"/>
      <c r="Q99" s="1"/>
      <c r="R99" s="1"/>
    </row>
    <row r="100" spans="1:18" ht="16" customHeight="1">
      <c r="B100" s="1"/>
      <c r="C100" s="1" t="s">
        <v>160</v>
      </c>
      <c r="D100" s="36"/>
      <c r="E100" s="36"/>
      <c r="F100" s="1"/>
      <c r="G100" s="1"/>
      <c r="H100" s="302">
        <v>715</v>
      </c>
      <c r="I100" s="1"/>
      <c r="J100" s="1"/>
      <c r="K100" s="1"/>
      <c r="L100" s="753"/>
      <c r="M100" s="752"/>
      <c r="N100" s="752"/>
      <c r="O100" s="752"/>
      <c r="P100" s="752"/>
      <c r="Q100" s="752"/>
      <c r="R100" s="1"/>
    </row>
    <row r="101" spans="1:18" ht="16" customHeight="1">
      <c r="B101" s="1"/>
      <c r="C101" s="1" t="s">
        <v>161</v>
      </c>
      <c r="D101" s="1"/>
      <c r="E101" s="1"/>
      <c r="F101" s="1"/>
      <c r="G101" s="1"/>
      <c r="H101" s="302">
        <v>0</v>
      </c>
      <c r="I101" s="1" t="s">
        <v>162</v>
      </c>
      <c r="J101" s="1"/>
      <c r="K101" s="1"/>
      <c r="L101" s="752"/>
      <c r="M101" s="752"/>
      <c r="N101" s="752"/>
      <c r="O101" s="752"/>
      <c r="P101" s="752"/>
      <c r="Q101" s="752"/>
      <c r="R101" s="1"/>
    </row>
    <row r="102" spans="1:18" ht="16" customHeight="1">
      <c r="B102" s="1"/>
      <c r="C102" s="1" t="s">
        <v>163</v>
      </c>
      <c r="D102" s="36"/>
      <c r="E102" s="36"/>
      <c r="F102" s="1"/>
      <c r="G102" s="1"/>
      <c r="H102" s="303">
        <f>H101+H100</f>
        <v>715</v>
      </c>
      <c r="I102" s="1"/>
      <c r="J102" s="1"/>
      <c r="K102" s="1"/>
      <c r="L102" s="752"/>
      <c r="M102" s="752"/>
      <c r="N102" s="752"/>
      <c r="O102" s="752"/>
      <c r="P102" s="752"/>
      <c r="Q102" s="752"/>
      <c r="R102" s="1"/>
    </row>
    <row r="103" spans="1:18" ht="16" customHeight="1">
      <c r="B103" s="1"/>
      <c r="C103" s="1"/>
      <c r="D103" s="1"/>
      <c r="E103" s="1"/>
      <c r="F103" s="1"/>
      <c r="G103" s="1"/>
      <c r="H103" s="10"/>
      <c r="I103" s="1"/>
      <c r="J103" s="1"/>
      <c r="K103" s="1"/>
      <c r="L103" s="1"/>
      <c r="M103" s="1"/>
      <c r="N103" s="1"/>
      <c r="O103" s="1"/>
      <c r="P103" s="1"/>
      <c r="Q103" s="1"/>
      <c r="R103" s="1"/>
    </row>
    <row r="104" spans="1:18" ht="16" customHeight="1">
      <c r="B104" s="37" t="s">
        <v>164</v>
      </c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</row>
    <row r="105" spans="1:18" ht="16" customHeight="1">
      <c r="A105" s="157" t="s">
        <v>82</v>
      </c>
      <c r="B105" s="1"/>
      <c r="C105" s="321" t="s">
        <v>165</v>
      </c>
      <c r="D105" s="1"/>
      <c r="E105" s="52" t="s">
        <v>166</v>
      </c>
      <c r="F105" s="311">
        <v>1.4533005901311109</v>
      </c>
      <c r="G105" s="10">
        <f>F105*E29</f>
        <v>118.59999999999989</v>
      </c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</row>
    <row r="106" spans="1:18" ht="16" customHeight="1">
      <c r="B106" s="1"/>
      <c r="C106" s="321" t="s">
        <v>146</v>
      </c>
      <c r="D106" s="1"/>
      <c r="E106" s="1"/>
      <c r="F106" s="311">
        <v>2.4507598484504411</v>
      </c>
      <c r="G106" s="10">
        <f>F106*E29</f>
        <v>199.99999999999991</v>
      </c>
      <c r="H106" s="1"/>
      <c r="I106" s="1"/>
      <c r="J106" s="1"/>
      <c r="K106" s="1"/>
      <c r="L106" s="753"/>
      <c r="M106" s="752"/>
      <c r="N106" s="752"/>
      <c r="O106" s="752"/>
      <c r="P106" s="752"/>
      <c r="Q106" s="752"/>
      <c r="R106" s="1"/>
    </row>
    <row r="107" spans="1:18" ht="16" customHeight="1">
      <c r="B107" s="1"/>
      <c r="C107" s="1" t="s">
        <v>167</v>
      </c>
      <c r="D107" s="1"/>
      <c r="E107" s="1"/>
      <c r="F107" s="1"/>
      <c r="G107" s="1"/>
      <c r="H107" s="10">
        <f>G106+G105</f>
        <v>318.5999999999998</v>
      </c>
      <c r="I107" s="1"/>
      <c r="J107" s="1"/>
      <c r="K107" s="1"/>
      <c r="L107" s="752"/>
      <c r="M107" s="752"/>
      <c r="N107" s="752"/>
      <c r="O107" s="752"/>
      <c r="P107" s="752"/>
      <c r="Q107" s="752"/>
      <c r="R107" s="1"/>
    </row>
    <row r="108" spans="1:18" ht="16" customHeight="1">
      <c r="B108" s="1"/>
      <c r="C108" s="1" t="s">
        <v>168</v>
      </c>
      <c r="D108" s="1"/>
      <c r="E108" s="1"/>
      <c r="F108" s="1"/>
      <c r="G108" s="1"/>
      <c r="H108" s="54">
        <f>H102-H107</f>
        <v>396.4000000000002</v>
      </c>
      <c r="I108" s="1"/>
      <c r="J108" s="1"/>
      <c r="K108" s="1"/>
      <c r="L108" s="752"/>
      <c r="M108" s="752"/>
      <c r="N108" s="752"/>
      <c r="O108" s="752"/>
      <c r="P108" s="752"/>
      <c r="Q108" s="752"/>
      <c r="R108" s="1"/>
    </row>
    <row r="109" spans="1:18" ht="16" customHeight="1">
      <c r="B109" s="1"/>
      <c r="C109" s="1" t="s">
        <v>169</v>
      </c>
      <c r="D109" s="1"/>
      <c r="E109" s="1"/>
      <c r="F109" s="1"/>
      <c r="G109" s="1"/>
      <c r="H109" s="10">
        <f>H107+H108</f>
        <v>715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</row>
    <row r="110" spans="1:18" ht="16" customHeight="1">
      <c r="B110" s="1"/>
      <c r="C110" s="55" t="s">
        <v>170</v>
      </c>
      <c r="D110" s="55"/>
      <c r="E110" s="55"/>
      <c r="F110" s="55"/>
      <c r="G110" s="55"/>
      <c r="H110" s="56">
        <f>H108/H109</f>
        <v>0.55440559440559467</v>
      </c>
      <c r="I110" s="1"/>
      <c r="J110" s="1"/>
      <c r="K110" s="1"/>
      <c r="L110" s="1"/>
      <c r="M110" s="1"/>
      <c r="N110" s="1"/>
      <c r="O110" s="1"/>
      <c r="P110" s="1"/>
      <c r="Q110" s="1"/>
      <c r="R110" s="1"/>
    </row>
    <row r="111" spans="1:18" ht="16" customHeight="1">
      <c r="B111" s="1"/>
      <c r="C111" s="57" t="s">
        <v>171</v>
      </c>
      <c r="D111" s="1"/>
      <c r="E111" s="1"/>
      <c r="F111" s="1"/>
      <c r="G111" s="1"/>
      <c r="H111" s="58" t="str">
        <f>IF(H109=H102,"Yes","NO")</f>
        <v>Yes</v>
      </c>
      <c r="I111" s="1"/>
      <c r="J111" s="1"/>
      <c r="K111" s="1"/>
      <c r="L111" s="1"/>
      <c r="M111" s="1"/>
      <c r="N111" s="1"/>
      <c r="O111" s="1"/>
      <c r="P111" s="1"/>
      <c r="Q111" s="1"/>
      <c r="R111" s="1"/>
    </row>
    <row r="112" spans="1:18" ht="16" customHeight="1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</row>
    <row r="113" spans="1:18" ht="16" customHeight="1">
      <c r="A113" s="157" t="s">
        <v>92</v>
      </c>
      <c r="B113" s="37" t="s">
        <v>93</v>
      </c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</row>
    <row r="114" spans="1:18" ht="16" customHeight="1">
      <c r="B114" s="1"/>
      <c r="C114" s="1" t="s">
        <v>172</v>
      </c>
      <c r="D114" s="1"/>
      <c r="E114" s="1"/>
      <c r="F114" s="1"/>
      <c r="G114" s="1"/>
      <c r="H114" s="28">
        <f>P16</f>
        <v>8.7614664582103305</v>
      </c>
      <c r="I114" s="1"/>
      <c r="J114" s="1"/>
      <c r="K114" s="1"/>
      <c r="L114" s="753"/>
      <c r="M114" s="752"/>
      <c r="N114" s="752"/>
      <c r="O114" s="752"/>
      <c r="P114" s="752"/>
      <c r="Q114" s="752"/>
      <c r="R114" s="1"/>
    </row>
    <row r="115" spans="1:18" ht="16" customHeight="1">
      <c r="B115" s="1"/>
      <c r="C115" s="1" t="s">
        <v>173</v>
      </c>
      <c r="D115" s="1"/>
      <c r="E115" s="1"/>
      <c r="F115" s="1"/>
      <c r="G115" s="1"/>
      <c r="H115" s="28">
        <f>Q16</f>
        <v>8.7614664582103305</v>
      </c>
      <c r="I115" s="1"/>
      <c r="J115" s="1"/>
      <c r="K115" s="1"/>
      <c r="L115" s="752"/>
      <c r="M115" s="752"/>
      <c r="N115" s="752"/>
      <c r="O115" s="752"/>
      <c r="P115" s="752"/>
      <c r="Q115" s="752"/>
      <c r="R115" s="1"/>
    </row>
    <row r="116" spans="1:18" ht="16" customHeight="1">
      <c r="B116" s="1"/>
      <c r="C116" s="1" t="s">
        <v>174</v>
      </c>
      <c r="D116" s="1"/>
      <c r="E116" s="1"/>
      <c r="F116" s="1"/>
      <c r="G116" s="1"/>
      <c r="H116" s="53">
        <f>IF(MultipleExpansion="Yes",H115+1,H115)</f>
        <v>9.7614664582103305</v>
      </c>
      <c r="I116" s="1"/>
      <c r="J116" s="1"/>
      <c r="K116" s="1"/>
      <c r="L116" s="752"/>
      <c r="M116" s="752"/>
      <c r="N116" s="752"/>
      <c r="O116" s="752"/>
      <c r="P116" s="752"/>
      <c r="Q116" s="752"/>
      <c r="R116" s="1"/>
    </row>
    <row r="117" spans="1:18" ht="16" customHeight="1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</row>
    <row r="118" spans="1:18" ht="16" customHeight="1">
      <c r="A118" s="157" t="s">
        <v>92</v>
      </c>
      <c r="B118" s="37" t="s">
        <v>175</v>
      </c>
      <c r="C118" s="59"/>
      <c r="D118" s="1"/>
      <c r="E118" s="1"/>
      <c r="F118" s="754" t="s">
        <v>176</v>
      </c>
      <c r="G118" s="752"/>
      <c r="H118" s="1"/>
      <c r="I118" s="754" t="s">
        <v>177</v>
      </c>
      <c r="J118" s="752"/>
      <c r="K118" s="1"/>
      <c r="L118" s="1"/>
      <c r="M118" s="1"/>
      <c r="N118" s="1"/>
      <c r="O118" s="1"/>
      <c r="P118" s="1"/>
      <c r="Q118" s="1"/>
      <c r="R118" s="1"/>
    </row>
    <row r="119" spans="1:18" ht="16" customHeight="1">
      <c r="B119" s="1"/>
      <c r="C119" s="59"/>
      <c r="D119" s="1"/>
      <c r="E119" s="1"/>
      <c r="F119" s="60" t="s">
        <v>178</v>
      </c>
      <c r="G119" s="61" t="s">
        <v>179</v>
      </c>
      <c r="H119" s="1"/>
      <c r="I119" s="60" t="s">
        <v>180</v>
      </c>
      <c r="J119" s="61" t="s">
        <v>181</v>
      </c>
      <c r="K119" s="1"/>
      <c r="L119" s="1"/>
      <c r="M119" s="1"/>
      <c r="N119" s="1"/>
      <c r="O119" s="1"/>
      <c r="P119" s="1"/>
      <c r="Q119" s="1"/>
      <c r="R119" s="1"/>
    </row>
    <row r="120" spans="1:18" ht="16" customHeight="1">
      <c r="B120" s="1"/>
      <c r="C120" s="1" t="s">
        <v>182</v>
      </c>
      <c r="D120" s="1"/>
      <c r="E120" s="1"/>
      <c r="F120" s="312">
        <v>7.0000000000000007E-2</v>
      </c>
      <c r="G120" s="44">
        <f>F120</f>
        <v>7.0000000000000007E-2</v>
      </c>
      <c r="H120" s="1"/>
      <c r="I120" s="313">
        <v>0</v>
      </c>
      <c r="J120" s="10">
        <f>$H$108*I120/(1-G120)</f>
        <v>0</v>
      </c>
      <c r="K120" s="1"/>
      <c r="L120" s="753"/>
      <c r="M120" s="752"/>
      <c r="N120" s="752"/>
      <c r="O120" s="752"/>
      <c r="P120" s="752"/>
      <c r="Q120" s="752"/>
      <c r="R120" s="1"/>
    </row>
    <row r="121" spans="1:18" ht="16" customHeight="1">
      <c r="B121" s="1"/>
      <c r="C121" s="1" t="s">
        <v>183</v>
      </c>
      <c r="D121" s="1"/>
      <c r="E121" s="1"/>
      <c r="F121" s="312">
        <v>0</v>
      </c>
      <c r="G121" s="44">
        <f>F121+G120</f>
        <v>7.0000000000000007E-2</v>
      </c>
      <c r="H121" s="1"/>
      <c r="I121" s="313">
        <v>0</v>
      </c>
      <c r="J121" s="10">
        <f>$H$108*I121/(1-G121)</f>
        <v>0</v>
      </c>
      <c r="K121" s="1"/>
      <c r="L121" s="752"/>
      <c r="M121" s="752"/>
      <c r="N121" s="752"/>
      <c r="O121" s="752"/>
      <c r="P121" s="752"/>
      <c r="Q121" s="752"/>
      <c r="R121" s="1"/>
    </row>
    <row r="122" spans="1:18" ht="16" customHeight="1">
      <c r="B122" s="1"/>
      <c r="C122" s="1" t="s">
        <v>184</v>
      </c>
      <c r="D122" s="1"/>
      <c r="E122" s="1"/>
      <c r="F122" s="312">
        <v>0</v>
      </c>
      <c r="G122" s="44">
        <f>F122+G121</f>
        <v>7.0000000000000007E-2</v>
      </c>
      <c r="H122" s="1"/>
      <c r="I122" s="313">
        <v>0</v>
      </c>
      <c r="J122" s="10">
        <f>$H$108*I122/(1-G122)</f>
        <v>0</v>
      </c>
      <c r="K122" s="1"/>
      <c r="L122" s="752"/>
      <c r="M122" s="752"/>
      <c r="N122" s="752"/>
      <c r="O122" s="752"/>
      <c r="P122" s="752"/>
      <c r="Q122" s="752"/>
      <c r="R122" s="1"/>
    </row>
    <row r="123" spans="1:18" ht="16" customHeight="1">
      <c r="B123" s="1"/>
      <c r="C123" s="1"/>
      <c r="D123" s="1"/>
      <c r="E123" s="1"/>
      <c r="F123" s="41"/>
      <c r="G123" s="44"/>
      <c r="H123" s="1"/>
      <c r="I123" s="62"/>
      <c r="J123" s="10"/>
      <c r="K123" s="1"/>
      <c r="L123" s="134"/>
      <c r="M123" s="134"/>
      <c r="N123" s="134"/>
      <c r="O123" s="134"/>
      <c r="P123" s="134"/>
      <c r="Q123" s="134"/>
      <c r="R123" s="1"/>
    </row>
    <row r="124" spans="1:18" ht="16" customHeight="1">
      <c r="B124" s="1"/>
      <c r="C124" s="1"/>
      <c r="D124" s="1"/>
      <c r="E124" s="1"/>
      <c r="F124" s="41"/>
      <c r="G124" s="44"/>
      <c r="H124" s="1"/>
      <c r="I124" s="62"/>
      <c r="J124" s="10"/>
      <c r="K124" s="1"/>
      <c r="L124" s="134"/>
      <c r="M124" s="134"/>
      <c r="N124" s="134"/>
      <c r="O124" s="134"/>
      <c r="P124" s="134"/>
      <c r="Q124" s="134"/>
      <c r="R124" s="1"/>
    </row>
    <row r="125" spans="1:18" ht="16" customHeight="1">
      <c r="B125" s="1"/>
      <c r="C125" s="55"/>
      <c r="D125" s="55"/>
      <c r="E125" s="135"/>
      <c r="F125" s="136"/>
      <c r="G125" s="136"/>
      <c r="H125" s="136"/>
      <c r="I125" s="136"/>
      <c r="J125" s="136"/>
      <c r="K125" s="1"/>
      <c r="L125" s="45"/>
      <c r="M125" s="39"/>
      <c r="N125" s="39"/>
      <c r="O125" s="39"/>
      <c r="P125" s="39"/>
      <c r="Q125" s="134"/>
      <c r="R125" s="1"/>
    </row>
    <row r="126" spans="1:18" ht="16" customHeight="1">
      <c r="B126" s="1"/>
      <c r="C126" s="55"/>
      <c r="D126" s="55"/>
      <c r="E126" s="135"/>
      <c r="F126" s="136"/>
      <c r="G126" s="136"/>
      <c r="H126" s="136"/>
      <c r="I126" s="136"/>
      <c r="J126" s="136"/>
      <c r="K126" s="1"/>
      <c r="L126" s="45"/>
      <c r="M126" s="39"/>
      <c r="N126" s="39"/>
      <c r="O126" s="39"/>
      <c r="P126" s="39"/>
      <c r="Q126" s="134"/>
      <c r="R126" s="1"/>
    </row>
    <row r="127" spans="1:18" ht="16" customHeight="1">
      <c r="B127" s="137" t="s">
        <v>185</v>
      </c>
      <c r="C127" s="138"/>
      <c r="D127" s="138"/>
      <c r="E127" s="138"/>
      <c r="F127" s="138"/>
      <c r="G127" s="139"/>
      <c r="H127" s="136"/>
      <c r="I127" s="136"/>
      <c r="J127" s="136"/>
      <c r="K127" s="1"/>
      <c r="L127" s="45"/>
      <c r="M127" s="39"/>
      <c r="N127" s="39"/>
      <c r="O127" s="39"/>
      <c r="P127" s="39"/>
      <c r="Q127" s="134"/>
      <c r="R127" s="1"/>
    </row>
    <row r="128" spans="1:18" ht="16" customHeight="1">
      <c r="B128" s="169" t="s">
        <v>186</v>
      </c>
      <c r="C128" s="170"/>
      <c r="D128" s="170"/>
      <c r="E128" s="171"/>
      <c r="F128" s="172"/>
      <c r="G128" s="172"/>
      <c r="H128" s="172"/>
      <c r="I128" s="172"/>
      <c r="J128" s="172"/>
      <c r="K128" s="167"/>
      <c r="L128" s="173"/>
      <c r="M128" s="168"/>
      <c r="N128" s="168"/>
      <c r="O128" s="39"/>
      <c r="P128" s="39"/>
      <c r="Q128" s="134"/>
      <c r="R128" s="1"/>
    </row>
    <row r="129" spans="2:18" ht="16" customHeight="1">
      <c r="B129" s="1"/>
      <c r="C129" s="55"/>
      <c r="D129" s="55"/>
      <c r="E129" s="135"/>
      <c r="F129" s="136"/>
      <c r="G129" s="136"/>
      <c r="H129" s="136"/>
      <c r="I129" s="136"/>
      <c r="J129" s="136"/>
      <c r="K129" s="1"/>
      <c r="L129" s="45"/>
      <c r="M129" s="39"/>
      <c r="N129" s="39"/>
      <c r="O129" s="39"/>
      <c r="P129" s="39"/>
      <c r="Q129" s="134"/>
      <c r="R129" s="1"/>
    </row>
    <row r="130" spans="2:18" ht="16" customHeight="1">
      <c r="B130" s="1"/>
      <c r="C130" s="1"/>
      <c r="D130" s="55"/>
      <c r="E130" s="55"/>
      <c r="F130" s="142" t="s">
        <v>187</v>
      </c>
      <c r="G130" s="136"/>
      <c r="H130" s="136"/>
      <c r="I130" s="136"/>
      <c r="J130" s="136"/>
      <c r="K130" s="136"/>
      <c r="L130" s="1"/>
      <c r="M130" s="45"/>
      <c r="N130" s="39"/>
      <c r="O130" s="39"/>
      <c r="P130" s="39"/>
      <c r="Q130" s="134"/>
      <c r="R130" s="1"/>
    </row>
    <row r="131" spans="2:18" ht="16" customHeight="1">
      <c r="B131" s="37" t="s">
        <v>188</v>
      </c>
      <c r="C131" s="78"/>
      <c r="D131" s="55"/>
      <c r="E131" s="55"/>
      <c r="F131" s="314">
        <v>1</v>
      </c>
      <c r="G131" s="148">
        <f>F131+1</f>
        <v>2</v>
      </c>
      <c r="H131" s="148">
        <f>G131+1</f>
        <v>3</v>
      </c>
      <c r="I131" s="148">
        <f>H131+1</f>
        <v>4</v>
      </c>
      <c r="J131" s="148">
        <f>I131+1</f>
        <v>5</v>
      </c>
      <c r="K131" s="136"/>
      <c r="L131" s="1"/>
      <c r="M131" s="149"/>
      <c r="N131" s="39"/>
      <c r="O131" s="39"/>
      <c r="P131" s="39"/>
      <c r="Q131" s="134"/>
      <c r="R131" s="1"/>
    </row>
    <row r="132" spans="2:18" ht="16" customHeight="1">
      <c r="B132" s="37"/>
      <c r="C132" s="52" t="s">
        <v>189</v>
      </c>
      <c r="D132" s="1"/>
      <c r="E132" s="1"/>
      <c r="F132" s="307">
        <v>50</v>
      </c>
      <c r="G132" s="19">
        <f>F132*(1+G133)</f>
        <v>52.646108279896886</v>
      </c>
      <c r="H132" s="19">
        <f>G132*(1+H133)</f>
        <v>55.432254340372552</v>
      </c>
      <c r="I132" s="19">
        <f>H132*(1+I133)</f>
        <v>58.365849284040749</v>
      </c>
      <c r="J132" s="19">
        <f>I132*(1+J133)</f>
        <v>61.454696425115031</v>
      </c>
      <c r="K132" s="132"/>
      <c r="L132" s="753"/>
      <c r="M132" s="752"/>
      <c r="N132" s="752"/>
      <c r="O132" s="752"/>
      <c r="P132" s="752"/>
      <c r="Q132" s="752"/>
      <c r="R132" s="1"/>
    </row>
    <row r="133" spans="2:18" ht="16" customHeight="1">
      <c r="B133" s="1"/>
      <c r="C133" s="52"/>
      <c r="D133" s="146" t="s">
        <v>190</v>
      </c>
      <c r="E133" s="1"/>
      <c r="F133" s="20"/>
      <c r="G133" s="312">
        <f>G16</f>
        <v>5.292216559793772E-2</v>
      </c>
      <c r="H133" s="41">
        <f>G133</f>
        <v>5.292216559793772E-2</v>
      </c>
      <c r="I133" s="41">
        <f>H133</f>
        <v>5.292216559793772E-2</v>
      </c>
      <c r="J133" s="41">
        <f>I133</f>
        <v>5.292216559793772E-2</v>
      </c>
      <c r="K133" s="132"/>
      <c r="L133" s="752"/>
      <c r="M133" s="752"/>
      <c r="N133" s="752"/>
      <c r="O133" s="752"/>
      <c r="P133" s="752"/>
      <c r="Q133" s="752"/>
      <c r="R133" s="1"/>
    </row>
    <row r="134" spans="2:18" ht="16" customHeight="1">
      <c r="B134" s="1"/>
      <c r="C134" s="52" t="s">
        <v>111</v>
      </c>
      <c r="D134" s="55"/>
      <c r="E134" s="1"/>
      <c r="F134" s="308">
        <v>10</v>
      </c>
      <c r="G134" s="23">
        <f>G132*G135</f>
        <v>10.529221655979377</v>
      </c>
      <c r="H134" s="23">
        <f>H132*H135</f>
        <v>11.086450868074511</v>
      </c>
      <c r="I134" s="23">
        <f>I132*I135</f>
        <v>11.673169856808151</v>
      </c>
      <c r="J134" s="23">
        <f>J132*J135</f>
        <v>12.290939285023008</v>
      </c>
      <c r="K134" s="132"/>
      <c r="L134" s="752"/>
      <c r="M134" s="752"/>
      <c r="N134" s="752"/>
      <c r="O134" s="752"/>
      <c r="P134" s="752"/>
      <c r="Q134" s="752"/>
      <c r="R134" s="1"/>
    </row>
    <row r="135" spans="2:18" ht="16" customHeight="1">
      <c r="B135" s="1"/>
      <c r="C135" s="52"/>
      <c r="D135" s="146" t="s">
        <v>191</v>
      </c>
      <c r="E135" s="1"/>
      <c r="F135" s="20">
        <f>F134/F132</f>
        <v>0.2</v>
      </c>
      <c r="G135" s="41">
        <f>F135</f>
        <v>0.2</v>
      </c>
      <c r="H135" s="41">
        <f>G135</f>
        <v>0.2</v>
      </c>
      <c r="I135" s="41">
        <f>H135</f>
        <v>0.2</v>
      </c>
      <c r="J135" s="41">
        <f>I135</f>
        <v>0.2</v>
      </c>
      <c r="K135" s="132"/>
      <c r="L135" s="1"/>
      <c r="M135" s="45"/>
      <c r="N135" s="39"/>
      <c r="O135" s="39"/>
      <c r="P135" s="39"/>
      <c r="Q135" s="134"/>
      <c r="R135" s="1"/>
    </row>
    <row r="136" spans="2:18" ht="16" customHeight="1">
      <c r="B136" s="1"/>
      <c r="C136" s="52"/>
      <c r="D136" s="55"/>
      <c r="E136" s="1"/>
      <c r="F136" s="20"/>
      <c r="G136" s="132"/>
      <c r="H136" s="132"/>
      <c r="I136" s="132"/>
      <c r="J136" s="132"/>
      <c r="K136" s="132"/>
      <c r="L136" s="1"/>
      <c r="M136" s="45"/>
      <c r="N136" s="39"/>
      <c r="O136" s="39"/>
      <c r="P136" s="39"/>
      <c r="Q136" s="134"/>
      <c r="R136" s="1"/>
    </row>
    <row r="137" spans="2:18" ht="16" customHeight="1">
      <c r="B137" s="1"/>
      <c r="C137" s="52" t="s">
        <v>192</v>
      </c>
      <c r="D137" s="143" t="s">
        <v>193</v>
      </c>
      <c r="E137" s="347">
        <v>2.7E-2</v>
      </c>
      <c r="F137" s="144">
        <f>-$E137*F132</f>
        <v>-1.35</v>
      </c>
      <c r="G137" s="144">
        <f>-$E137*G132</f>
        <v>-1.421444923557216</v>
      </c>
      <c r="H137" s="144">
        <f>-$E137*H132</f>
        <v>-1.4966708671900588</v>
      </c>
      <c r="I137" s="144">
        <f>-$E137*I132</f>
        <v>-1.5758779306691002</v>
      </c>
      <c r="J137" s="144">
        <f>-$E137*J132</f>
        <v>-1.6592768034781058</v>
      </c>
      <c r="K137" s="132"/>
      <c r="L137" s="1"/>
      <c r="M137" s="45"/>
      <c r="N137" s="39"/>
      <c r="O137" s="39"/>
      <c r="P137" s="39"/>
      <c r="Q137" s="134"/>
      <c r="R137" s="1"/>
    </row>
    <row r="138" spans="2:18" ht="16" customHeight="1">
      <c r="B138" s="1"/>
      <c r="C138" s="52" t="s">
        <v>194</v>
      </c>
      <c r="D138" s="135" t="s">
        <v>195</v>
      </c>
      <c r="E138" s="20">
        <f>E64</f>
        <v>8.3536251138428885E-2</v>
      </c>
      <c r="F138" s="132"/>
      <c r="G138" s="145">
        <f>-$E138*(G132-F132)</f>
        <v>-0.22104596580894234</v>
      </c>
      <c r="H138" s="145">
        <f>-$E138*(H132-G132)</f>
        <v>-0.2327441970162395</v>
      </c>
      <c r="I138" s="145">
        <f>-$E138*(I132-H132)</f>
        <v>-0.24506152395269165</v>
      </c>
      <c r="J138" s="145">
        <f>-$E138*(J132-I132)</f>
        <v>-0.25803071050499932</v>
      </c>
      <c r="K138" s="1"/>
      <c r="L138" s="1"/>
      <c r="M138" s="45"/>
      <c r="N138" s="39"/>
      <c r="O138" s="39"/>
      <c r="P138" s="39"/>
      <c r="Q138" s="134"/>
      <c r="R138" s="1"/>
    </row>
    <row r="139" spans="2:18" ht="16" customHeight="1">
      <c r="B139" s="1"/>
      <c r="C139" s="55"/>
      <c r="D139" s="55"/>
      <c r="E139" s="135"/>
      <c r="F139" s="136"/>
      <c r="G139" s="136"/>
      <c r="H139" s="136"/>
      <c r="I139" s="136"/>
      <c r="J139" s="136"/>
      <c r="K139" s="1"/>
      <c r="L139" s="45"/>
      <c r="M139" s="39"/>
      <c r="N139" s="39"/>
      <c r="O139" s="39"/>
      <c r="P139" s="39"/>
      <c r="Q139" s="134"/>
      <c r="R139" s="1"/>
    </row>
    <row r="140" spans="2:18" ht="16" customHeight="1">
      <c r="B140" s="1"/>
      <c r="C140" s="55"/>
      <c r="D140" s="55"/>
      <c r="E140" s="135"/>
      <c r="F140" s="136"/>
      <c r="G140" s="136"/>
      <c r="H140" s="136"/>
      <c r="I140" s="136"/>
      <c r="J140" s="136"/>
      <c r="K140" s="1"/>
      <c r="L140" s="45"/>
      <c r="M140" s="39"/>
      <c r="N140" s="39"/>
      <c r="O140" s="39"/>
      <c r="P140" s="39"/>
      <c r="Q140" s="134"/>
      <c r="R140" s="1"/>
    </row>
    <row r="141" spans="2:18" ht="16" customHeight="1">
      <c r="B141" s="37" t="s">
        <v>196</v>
      </c>
      <c r="C141" s="78"/>
      <c r="D141" s="55"/>
      <c r="E141" s="150"/>
      <c r="F141" s="148">
        <f>F14</f>
        <v>2025</v>
      </c>
      <c r="G141" s="148">
        <f>G14</f>
        <v>2026</v>
      </c>
      <c r="H141" s="148">
        <f>H14</f>
        <v>2027</v>
      </c>
      <c r="I141" s="148">
        <f>I14</f>
        <v>2028</v>
      </c>
      <c r="J141" s="148">
        <f>J14</f>
        <v>2029</v>
      </c>
      <c r="K141" s="150"/>
      <c r="L141" s="150"/>
      <c r="M141" s="39"/>
      <c r="N141" s="39"/>
      <c r="O141" s="39"/>
      <c r="P141" s="39"/>
      <c r="Q141" s="134"/>
      <c r="R141" s="1"/>
    </row>
    <row r="142" spans="2:18" ht="16" customHeight="1">
      <c r="B142" s="147"/>
      <c r="C142" s="158" t="s">
        <v>197</v>
      </c>
      <c r="D142" s="159"/>
      <c r="E142" s="159"/>
      <c r="F142" s="315">
        <f>IF(Mergers="Yes",1,0)</f>
        <v>0</v>
      </c>
      <c r="G142" s="160">
        <f>F142</f>
        <v>0</v>
      </c>
      <c r="H142" s="160">
        <f>G142</f>
        <v>0</v>
      </c>
      <c r="I142" s="160">
        <f>H142</f>
        <v>0</v>
      </c>
      <c r="J142" s="161">
        <f>I142</f>
        <v>0</v>
      </c>
      <c r="K142" s="150"/>
      <c r="L142" s="751"/>
      <c r="M142" s="752"/>
      <c r="N142" s="752"/>
      <c r="O142" s="752"/>
      <c r="P142" s="752"/>
      <c r="Q142" s="752"/>
      <c r="R142" s="1"/>
    </row>
    <row r="143" spans="2:18" ht="16" customHeight="1">
      <c r="B143" s="147"/>
      <c r="C143" s="52" t="s">
        <v>198</v>
      </c>
      <c r="D143" s="1"/>
      <c r="E143" s="1"/>
      <c r="F143" s="23">
        <f>$F$134*F142</f>
        <v>0</v>
      </c>
      <c r="G143" s="23">
        <f>$F$134*G142</f>
        <v>0</v>
      </c>
      <c r="H143" s="23">
        <f>$F$134*H142</f>
        <v>0</v>
      </c>
      <c r="I143" s="23">
        <f>$F$134*I142</f>
        <v>0</v>
      </c>
      <c r="J143" s="23">
        <f>$F$134*J142</f>
        <v>0</v>
      </c>
      <c r="K143" s="1"/>
      <c r="L143" s="752"/>
      <c r="M143" s="752"/>
      <c r="N143" s="752"/>
      <c r="O143" s="752"/>
      <c r="P143" s="752"/>
      <c r="Q143" s="752"/>
      <c r="R143" s="1"/>
    </row>
    <row r="144" spans="2:18" ht="16" customHeight="1">
      <c r="B144" s="147"/>
      <c r="C144" s="52" t="s">
        <v>199</v>
      </c>
      <c r="D144" s="150"/>
      <c r="E144" s="150"/>
      <c r="F144" s="316">
        <v>8</v>
      </c>
      <c r="G144" s="316">
        <v>8</v>
      </c>
      <c r="H144" s="316">
        <v>8</v>
      </c>
      <c r="I144" s="316">
        <v>8</v>
      </c>
      <c r="J144" s="316">
        <v>8</v>
      </c>
      <c r="K144" s="150"/>
      <c r="L144" s="752"/>
      <c r="M144" s="752"/>
      <c r="N144" s="752"/>
      <c r="O144" s="752"/>
      <c r="P144" s="752"/>
      <c r="Q144" s="752"/>
      <c r="R144" s="1"/>
    </row>
    <row r="145" spans="2:24" ht="16" customHeight="1">
      <c r="B145" s="147"/>
      <c r="C145" s="52" t="s">
        <v>200</v>
      </c>
      <c r="D145" s="150"/>
      <c r="E145" s="150"/>
      <c r="F145" s="48">
        <f>F143*F144</f>
        <v>0</v>
      </c>
      <c r="G145" s="48">
        <f>G143*G144</f>
        <v>0</v>
      </c>
      <c r="H145" s="48">
        <f>H143*H144</f>
        <v>0</v>
      </c>
      <c r="I145" s="48">
        <f>I143*I144</f>
        <v>0</v>
      </c>
      <c r="J145" s="48">
        <f>J143*J144</f>
        <v>0</v>
      </c>
      <c r="K145" s="150"/>
      <c r="L145" s="45"/>
      <c r="M145" s="39"/>
      <c r="N145" s="39"/>
      <c r="O145" s="39"/>
      <c r="P145" s="39"/>
      <c r="Q145" s="134"/>
      <c r="R145" s="1"/>
    </row>
    <row r="146" spans="2:24" ht="16" customHeight="1">
      <c r="B146" s="147"/>
      <c r="C146" s="150"/>
      <c r="D146" s="150"/>
      <c r="E146" s="150"/>
      <c r="F146" s="150"/>
      <c r="G146" s="150"/>
      <c r="H146" s="150"/>
      <c r="I146" s="150"/>
      <c r="J146" s="150"/>
      <c r="K146" s="150"/>
      <c r="L146" s="45"/>
      <c r="M146" s="39"/>
      <c r="N146" s="39"/>
      <c r="O146" s="39"/>
      <c r="P146" s="39"/>
      <c r="Q146" s="134"/>
      <c r="R146" s="1"/>
    </row>
    <row r="147" spans="2:24" ht="16" customHeight="1">
      <c r="B147" s="147"/>
      <c r="C147" s="78" t="s">
        <v>201</v>
      </c>
      <c r="D147" s="52" t="s">
        <v>202</v>
      </c>
      <c r="E147" s="52" t="s">
        <v>203</v>
      </c>
      <c r="F147" s="8">
        <f>F141</f>
        <v>2025</v>
      </c>
      <c r="G147" s="8">
        <f>G141</f>
        <v>2026</v>
      </c>
      <c r="H147" s="8">
        <f>H141</f>
        <v>2027</v>
      </c>
      <c r="I147" s="8">
        <f>I141</f>
        <v>2028</v>
      </c>
      <c r="J147" s="8">
        <f>J141</f>
        <v>2029</v>
      </c>
      <c r="K147" s="1"/>
      <c r="L147" s="45"/>
      <c r="M147" s="39"/>
      <c r="N147" s="39"/>
      <c r="O147" s="39"/>
      <c r="P147" s="39"/>
      <c r="Q147" s="134"/>
      <c r="R147" s="1"/>
    </row>
    <row r="148" spans="2:24" ht="16" customHeight="1">
      <c r="B148" s="147"/>
      <c r="C148" s="52" t="s">
        <v>111</v>
      </c>
      <c r="D148" s="317">
        <v>1</v>
      </c>
      <c r="E148" s="23">
        <f>F142</f>
        <v>0</v>
      </c>
      <c r="F148" s="46">
        <f>$E148*F134*0.5</f>
        <v>0</v>
      </c>
      <c r="G148" s="46">
        <f>$E148*G134</f>
        <v>0</v>
      </c>
      <c r="H148" s="46">
        <f>$E148*H134</f>
        <v>0</v>
      </c>
      <c r="I148" s="46">
        <f>$E148*I134</f>
        <v>0</v>
      </c>
      <c r="J148" s="46">
        <f>$E148*J134</f>
        <v>0</v>
      </c>
      <c r="K148" s="1"/>
      <c r="L148" s="45"/>
      <c r="M148" s="39"/>
      <c r="N148" s="39"/>
      <c r="O148" s="39"/>
      <c r="P148" s="39"/>
      <c r="Q148" s="134"/>
      <c r="R148" s="1"/>
    </row>
    <row r="149" spans="2:24" ht="16" customHeight="1">
      <c r="B149" s="147"/>
      <c r="C149" s="52" t="s">
        <v>111</v>
      </c>
      <c r="D149" s="317">
        <v>2</v>
      </c>
      <c r="E149" s="23">
        <f>G142</f>
        <v>0</v>
      </c>
      <c r="F149" s="151"/>
      <c r="G149" s="46">
        <f>$E149*F134*0.5</f>
        <v>0</v>
      </c>
      <c r="H149" s="46">
        <f>$E149*G134</f>
        <v>0</v>
      </c>
      <c r="I149" s="46">
        <f>$E149*H134</f>
        <v>0</v>
      </c>
      <c r="J149" s="46">
        <f>$E149*I134</f>
        <v>0</v>
      </c>
      <c r="K149" s="1"/>
      <c r="L149" s="45"/>
      <c r="M149" s="39"/>
      <c r="N149" s="39"/>
      <c r="O149" s="39"/>
      <c r="P149" s="39"/>
      <c r="Q149" s="134"/>
      <c r="R149" s="1"/>
    </row>
    <row r="150" spans="2:24" ht="16" customHeight="1">
      <c r="B150" s="1"/>
      <c r="C150" s="52" t="s">
        <v>111</v>
      </c>
      <c r="D150" s="317">
        <v>3</v>
      </c>
      <c r="E150" s="23">
        <f>H142</f>
        <v>0</v>
      </c>
      <c r="F150" s="10"/>
      <c r="G150" s="1"/>
      <c r="H150" s="46">
        <f>$E150*F134*0.5</f>
        <v>0</v>
      </c>
      <c r="I150" s="46">
        <f>$E150*G134</f>
        <v>0</v>
      </c>
      <c r="J150" s="46">
        <f>$E150*H134</f>
        <v>0</v>
      </c>
      <c r="K150" s="1"/>
      <c r="L150" s="45"/>
      <c r="M150" s="134"/>
      <c r="N150" s="134"/>
      <c r="O150" s="134"/>
      <c r="P150" s="134"/>
      <c r="Q150" s="134"/>
      <c r="R150" s="1"/>
    </row>
    <row r="151" spans="2:24" ht="16" customHeight="1">
      <c r="B151" s="1"/>
      <c r="C151" s="52" t="s">
        <v>111</v>
      </c>
      <c r="D151" s="317">
        <v>4</v>
      </c>
      <c r="E151" s="23">
        <f>I142</f>
        <v>0</v>
      </c>
      <c r="F151" s="1"/>
      <c r="G151" s="1"/>
      <c r="H151" s="1"/>
      <c r="I151" s="46">
        <f>$E151*F134*0.5</f>
        <v>0</v>
      </c>
      <c r="J151" s="46">
        <f>$E151*G134</f>
        <v>0</v>
      </c>
      <c r="K151" s="1"/>
      <c r="L151" s="45"/>
      <c r="M151" s="134"/>
      <c r="N151" s="134"/>
      <c r="O151" s="134"/>
      <c r="P151" s="134"/>
      <c r="Q151" s="134"/>
      <c r="R151" s="1"/>
    </row>
    <row r="152" spans="2:24" ht="16" customHeight="1">
      <c r="B152" s="1"/>
      <c r="C152" s="52" t="s">
        <v>111</v>
      </c>
      <c r="D152" s="317">
        <v>5</v>
      </c>
      <c r="E152" s="23">
        <f>J142</f>
        <v>0</v>
      </c>
      <c r="F152" s="78"/>
      <c r="G152" s="78"/>
      <c r="H152" s="78"/>
      <c r="I152" s="78"/>
      <c r="J152" s="46">
        <f>$E152*F134*0.5</f>
        <v>0</v>
      </c>
      <c r="K152" s="1"/>
      <c r="L152" s="45"/>
      <c r="M152" s="134"/>
      <c r="N152" s="134"/>
      <c r="O152" s="134"/>
      <c r="P152" s="134"/>
      <c r="Q152" s="134"/>
      <c r="R152" s="1"/>
    </row>
    <row r="153" spans="2:24" ht="16" customHeight="1">
      <c r="B153" s="1"/>
      <c r="C153" s="52"/>
      <c r="D153" s="152" t="s">
        <v>204</v>
      </c>
      <c r="E153" s="15"/>
      <c r="F153" s="153">
        <f>SUM(F148:F152)</f>
        <v>0</v>
      </c>
      <c r="G153" s="153">
        <f>SUM(G148:G152)</f>
        <v>0</v>
      </c>
      <c r="H153" s="153">
        <f>SUM(H148:H152)</f>
        <v>0</v>
      </c>
      <c r="I153" s="153">
        <f>SUM(I148:I152)</f>
        <v>0</v>
      </c>
      <c r="J153" s="153">
        <f>SUM(J148:J152)</f>
        <v>0</v>
      </c>
      <c r="K153" s="1"/>
      <c r="L153" s="45"/>
      <c r="M153" s="134"/>
      <c r="N153" s="134"/>
      <c r="O153" s="134"/>
      <c r="P153" s="134"/>
      <c r="Q153" s="134"/>
      <c r="R153" s="1"/>
      <c r="W153" s="162"/>
    </row>
    <row r="154" spans="2:24" ht="16" customHeight="1">
      <c r="B154" s="1"/>
      <c r="C154" s="1"/>
      <c r="D154" s="1"/>
      <c r="E154" s="1"/>
      <c r="F154" s="41"/>
      <c r="G154" s="44"/>
      <c r="H154" s="1"/>
      <c r="I154" s="62"/>
      <c r="J154" s="10"/>
      <c r="K154" s="1"/>
      <c r="L154" s="134"/>
      <c r="M154" s="134"/>
      <c r="N154" s="134"/>
      <c r="O154" s="134"/>
      <c r="P154" s="134"/>
      <c r="Q154" s="134"/>
      <c r="R154" s="1"/>
      <c r="W154" s="163"/>
    </row>
    <row r="155" spans="2:24" ht="16" customHeight="1">
      <c r="B155" s="1"/>
      <c r="C155" s="78" t="s">
        <v>205</v>
      </c>
      <c r="D155" s="52" t="s">
        <v>202</v>
      </c>
      <c r="E155" s="52" t="s">
        <v>203</v>
      </c>
      <c r="F155" s="8">
        <f>F147</f>
        <v>2025</v>
      </c>
      <c r="G155" s="8">
        <f>G147</f>
        <v>2026</v>
      </c>
      <c r="H155" s="8">
        <f>H147</f>
        <v>2027</v>
      </c>
      <c r="I155" s="8">
        <f>I147</f>
        <v>2028</v>
      </c>
      <c r="J155" s="8">
        <f>J147</f>
        <v>2029</v>
      </c>
      <c r="K155" s="134"/>
      <c r="L155" s="134"/>
      <c r="M155" s="134"/>
      <c r="N155" s="134"/>
      <c r="O155" s="134"/>
      <c r="P155" s="134"/>
      <c r="Q155" s="134"/>
      <c r="R155" s="1"/>
      <c r="W155" s="163"/>
    </row>
    <row r="156" spans="2:24" ht="16" customHeight="1">
      <c r="B156" s="1"/>
      <c r="C156" s="52" t="s">
        <v>95</v>
      </c>
      <c r="D156" s="317">
        <v>1</v>
      </c>
      <c r="E156" s="23">
        <f>E148</f>
        <v>0</v>
      </c>
      <c r="F156" s="23">
        <f>$E156*F137*0.5</f>
        <v>0</v>
      </c>
      <c r="G156" s="23">
        <f>$E156*G137</f>
        <v>0</v>
      </c>
      <c r="H156" s="23">
        <f>$E156*H137</f>
        <v>0</v>
      </c>
      <c r="I156" s="23">
        <f>$E156*I137</f>
        <v>0</v>
      </c>
      <c r="J156" s="23">
        <f>$E156*J137</f>
        <v>0</v>
      </c>
      <c r="K156" s="1"/>
      <c r="L156" s="134"/>
      <c r="M156" s="134"/>
      <c r="N156" s="134"/>
      <c r="O156" s="134"/>
      <c r="P156" s="134"/>
      <c r="Q156" s="134"/>
      <c r="R156" s="1"/>
      <c r="W156" s="164"/>
    </row>
    <row r="157" spans="2:24" ht="16" customHeight="1">
      <c r="B157" s="1"/>
      <c r="C157" s="52" t="s">
        <v>95</v>
      </c>
      <c r="D157" s="317">
        <v>2</v>
      </c>
      <c r="E157" s="23">
        <f>E149</f>
        <v>0</v>
      </c>
      <c r="F157" s="154"/>
      <c r="G157" s="23">
        <f>$E157*F137*0.5</f>
        <v>0</v>
      </c>
      <c r="H157" s="23">
        <f>$E157*G137</f>
        <v>0</v>
      </c>
      <c r="I157" s="23">
        <f>$E157*H137</f>
        <v>0</v>
      </c>
      <c r="J157" s="23">
        <f>$E157*I137</f>
        <v>0</v>
      </c>
      <c r="K157" s="1"/>
      <c r="L157" s="134"/>
      <c r="M157" s="134"/>
      <c r="N157" s="134"/>
      <c r="O157" s="134"/>
      <c r="P157" s="134"/>
      <c r="Q157" s="134"/>
      <c r="R157" s="1"/>
      <c r="W157" s="162"/>
      <c r="X157" s="162"/>
    </row>
    <row r="158" spans="2:24" ht="16" customHeight="1">
      <c r="B158" s="1"/>
      <c r="C158" s="52" t="s">
        <v>95</v>
      </c>
      <c r="D158" s="317">
        <v>3</v>
      </c>
      <c r="E158" s="23">
        <f>E150</f>
        <v>0</v>
      </c>
      <c r="F158" s="23"/>
      <c r="G158" s="23"/>
      <c r="H158" s="23">
        <f>$E158*F137*0.5</f>
        <v>0</v>
      </c>
      <c r="I158" s="23">
        <f>$E158*G137</f>
        <v>0</v>
      </c>
      <c r="J158" s="23">
        <f>$E158*H137</f>
        <v>0</v>
      </c>
      <c r="K158" s="1"/>
      <c r="L158" s="134"/>
      <c r="M158" s="134"/>
      <c r="N158" s="134"/>
      <c r="O158" s="134"/>
      <c r="P158" s="134"/>
      <c r="Q158" s="134"/>
      <c r="R158" s="1"/>
    </row>
    <row r="159" spans="2:24" ht="16" customHeight="1">
      <c r="B159" s="1"/>
      <c r="C159" s="52" t="s">
        <v>95</v>
      </c>
      <c r="D159" s="317">
        <v>4</v>
      </c>
      <c r="E159" s="23">
        <f>E151</f>
        <v>0</v>
      </c>
      <c r="F159" s="23"/>
      <c r="G159" s="23"/>
      <c r="H159" s="23"/>
      <c r="I159" s="23">
        <f>$E159*F137*0.5</f>
        <v>0</v>
      </c>
      <c r="J159" s="23">
        <f>$E159*G137</f>
        <v>0</v>
      </c>
      <c r="K159" s="1"/>
      <c r="L159" s="134"/>
      <c r="M159" s="134"/>
      <c r="N159" s="134"/>
      <c r="O159" s="134"/>
      <c r="P159" s="134"/>
      <c r="Q159" s="134"/>
      <c r="R159" s="1"/>
      <c r="W159" s="162"/>
      <c r="X159" s="163"/>
    </row>
    <row r="160" spans="2:24" ht="16" customHeight="1">
      <c r="B160" s="1"/>
      <c r="C160" s="52" t="s">
        <v>95</v>
      </c>
      <c r="D160" s="317">
        <v>5</v>
      </c>
      <c r="E160" s="23">
        <f>E152</f>
        <v>0</v>
      </c>
      <c r="F160" s="155"/>
      <c r="G160" s="155"/>
      <c r="H160" s="155"/>
      <c r="I160" s="155"/>
      <c r="J160" s="23">
        <f>$E160*F137*0.5</f>
        <v>0</v>
      </c>
      <c r="K160" s="1"/>
      <c r="L160" s="134"/>
      <c r="M160" s="134"/>
      <c r="N160" s="134"/>
      <c r="O160" s="134"/>
      <c r="P160" s="134"/>
      <c r="Q160" s="134"/>
      <c r="R160" s="1"/>
      <c r="W160" s="162"/>
      <c r="X160" s="163"/>
    </row>
    <row r="161" spans="2:23" ht="16" customHeight="1">
      <c r="B161" s="1"/>
      <c r="C161" s="52"/>
      <c r="D161" s="152" t="s">
        <v>204</v>
      </c>
      <c r="E161" s="15"/>
      <c r="F161" s="156">
        <f>SUM(F156:F160)</f>
        <v>0</v>
      </c>
      <c r="G161" s="156">
        <f>SUM(G156:G160)</f>
        <v>0</v>
      </c>
      <c r="H161" s="156">
        <f>SUM(H156:H160)</f>
        <v>0</v>
      </c>
      <c r="I161" s="156">
        <f>SUM(I156:I160)</f>
        <v>0</v>
      </c>
      <c r="J161" s="156">
        <f>SUM(J156:J160)</f>
        <v>0</v>
      </c>
      <c r="K161" s="1"/>
      <c r="L161" s="134"/>
      <c r="M161" s="134"/>
      <c r="N161" s="134"/>
      <c r="O161" s="134"/>
      <c r="P161" s="134"/>
      <c r="Q161" s="134"/>
      <c r="R161" s="1"/>
      <c r="W161" s="162"/>
    </row>
    <row r="162" spans="2:23" ht="16" customHeight="1">
      <c r="B162" s="1"/>
      <c r="C162" s="1"/>
      <c r="D162" s="1"/>
      <c r="E162" s="1"/>
      <c r="F162" s="41"/>
      <c r="G162" s="44"/>
      <c r="H162" s="1"/>
      <c r="I162" s="62"/>
      <c r="J162" s="10"/>
      <c r="K162" s="1"/>
      <c r="L162" s="134"/>
      <c r="M162" s="134"/>
      <c r="N162" s="134"/>
      <c r="O162" s="134"/>
      <c r="P162" s="134"/>
      <c r="Q162" s="134"/>
      <c r="R162" s="1"/>
    </row>
    <row r="163" spans="2:23" ht="16" customHeight="1">
      <c r="B163" s="1"/>
      <c r="C163" s="78" t="s">
        <v>206</v>
      </c>
      <c r="D163" s="52" t="s">
        <v>202</v>
      </c>
      <c r="E163" s="52" t="s">
        <v>203</v>
      </c>
      <c r="F163" s="8">
        <f>F155</f>
        <v>2025</v>
      </c>
      <c r="G163" s="8">
        <f>G155</f>
        <v>2026</v>
      </c>
      <c r="H163" s="8">
        <f>H155</f>
        <v>2027</v>
      </c>
      <c r="I163" s="8">
        <f>I155</f>
        <v>2028</v>
      </c>
      <c r="J163" s="8">
        <f>J155</f>
        <v>2029</v>
      </c>
      <c r="K163" s="1"/>
      <c r="L163" s="134"/>
      <c r="M163" s="134"/>
      <c r="N163" s="134"/>
      <c r="O163" s="134"/>
      <c r="P163" s="134"/>
      <c r="Q163" s="134"/>
      <c r="R163" s="1"/>
      <c r="W163" s="163"/>
    </row>
    <row r="164" spans="2:23" ht="16" customHeight="1">
      <c r="B164" s="1"/>
      <c r="C164" s="52" t="s">
        <v>207</v>
      </c>
      <c r="D164" s="317">
        <v>1</v>
      </c>
      <c r="E164" s="23">
        <f>E156</f>
        <v>0</v>
      </c>
      <c r="F164" s="23">
        <f>$E164*F138*0.5</f>
        <v>0</v>
      </c>
      <c r="G164" s="23">
        <f>$E164*G138</f>
        <v>0</v>
      </c>
      <c r="H164" s="23">
        <f>$E164*H138</f>
        <v>0</v>
      </c>
      <c r="I164" s="23">
        <f>$E164*I138</f>
        <v>0</v>
      </c>
      <c r="J164" s="23">
        <f>$E164*J138</f>
        <v>0</v>
      </c>
      <c r="K164" s="1"/>
      <c r="L164" s="134"/>
      <c r="M164" s="134"/>
      <c r="N164" s="134"/>
      <c r="O164" s="134"/>
      <c r="P164" s="134"/>
      <c r="Q164" s="134"/>
      <c r="R164" s="1"/>
    </row>
    <row r="165" spans="2:23" ht="16" customHeight="1">
      <c r="B165" s="1"/>
      <c r="C165" s="52" t="s">
        <v>207</v>
      </c>
      <c r="D165" s="317">
        <v>2</v>
      </c>
      <c r="E165" s="23">
        <f>E157</f>
        <v>0</v>
      </c>
      <c r="F165" s="154"/>
      <c r="G165" s="23">
        <f>$E165*F138*0.5</f>
        <v>0</v>
      </c>
      <c r="H165" s="23">
        <f>$E165*G138</f>
        <v>0</v>
      </c>
      <c r="I165" s="23">
        <f>$E165*H138</f>
        <v>0</v>
      </c>
      <c r="J165" s="23">
        <f>$E165*I138</f>
        <v>0</v>
      </c>
      <c r="K165" s="1"/>
      <c r="L165" s="134"/>
      <c r="M165" s="134"/>
      <c r="N165" s="134"/>
      <c r="O165" s="134"/>
      <c r="P165" s="134"/>
      <c r="Q165" s="134"/>
      <c r="R165" s="1"/>
    </row>
    <row r="166" spans="2:23" ht="16" customHeight="1">
      <c r="B166" s="1"/>
      <c r="C166" s="52" t="s">
        <v>207</v>
      </c>
      <c r="D166" s="317">
        <v>3</v>
      </c>
      <c r="E166" s="23">
        <f>E158</f>
        <v>0</v>
      </c>
      <c r="F166" s="23"/>
      <c r="G166" s="23"/>
      <c r="H166" s="23">
        <f>$E166*F138*0.5</f>
        <v>0</v>
      </c>
      <c r="I166" s="23">
        <f>$E166*G138</f>
        <v>0</v>
      </c>
      <c r="J166" s="23">
        <f>$E166*H138</f>
        <v>0</v>
      </c>
      <c r="K166" s="1"/>
      <c r="L166" s="134"/>
      <c r="M166" s="134"/>
      <c r="N166" s="134"/>
      <c r="O166" s="134"/>
      <c r="P166" s="134"/>
      <c r="Q166" s="134"/>
      <c r="R166" s="1"/>
    </row>
    <row r="167" spans="2:23" ht="16" customHeight="1">
      <c r="B167" s="1"/>
      <c r="C167" s="52" t="s">
        <v>207</v>
      </c>
      <c r="D167" s="317">
        <v>4</v>
      </c>
      <c r="E167" s="23">
        <f>E159</f>
        <v>0</v>
      </c>
      <c r="F167" s="23"/>
      <c r="G167" s="23"/>
      <c r="H167" s="23"/>
      <c r="I167" s="23">
        <f>$E167*F138*0.5</f>
        <v>0</v>
      </c>
      <c r="J167" s="23">
        <f>$E167*G138</f>
        <v>0</v>
      </c>
      <c r="K167" s="1"/>
      <c r="L167" s="134"/>
      <c r="M167" s="134"/>
      <c r="N167" s="134"/>
      <c r="O167" s="134"/>
      <c r="P167" s="134"/>
      <c r="Q167" s="134"/>
      <c r="R167" s="1"/>
    </row>
    <row r="168" spans="2:23" ht="16" customHeight="1">
      <c r="B168" s="1"/>
      <c r="C168" s="52" t="s">
        <v>207</v>
      </c>
      <c r="D168" s="317">
        <v>5</v>
      </c>
      <c r="E168" s="23">
        <f>E160</f>
        <v>0</v>
      </c>
      <c r="F168" s="155"/>
      <c r="G168" s="155"/>
      <c r="H168" s="155"/>
      <c r="I168" s="155"/>
      <c r="J168" s="23">
        <f>$E168*F138*0.5</f>
        <v>0</v>
      </c>
      <c r="K168" s="1"/>
      <c r="L168" s="134"/>
      <c r="M168" s="134"/>
      <c r="N168" s="134"/>
      <c r="O168" s="134"/>
      <c r="P168" s="134"/>
      <c r="Q168" s="134"/>
      <c r="R168" s="1"/>
    </row>
    <row r="169" spans="2:23" ht="16" customHeight="1">
      <c r="B169" s="1"/>
      <c r="C169" s="52"/>
      <c r="D169" s="152" t="s">
        <v>204</v>
      </c>
      <c r="E169" s="15"/>
      <c r="F169" s="156">
        <f>SUM(F164:F168)</f>
        <v>0</v>
      </c>
      <c r="G169" s="156">
        <f>SUM(G164:G168)</f>
        <v>0</v>
      </c>
      <c r="H169" s="156">
        <f>SUM(H164:H168)</f>
        <v>0</v>
      </c>
      <c r="I169" s="156">
        <f>SUM(I164:I168)</f>
        <v>0</v>
      </c>
      <c r="J169" s="156">
        <f>SUM(J164:J168)</f>
        <v>0</v>
      </c>
      <c r="K169" s="1"/>
      <c r="L169" s="134"/>
      <c r="M169" s="134"/>
      <c r="N169" s="134"/>
      <c r="O169" s="134"/>
      <c r="P169" s="134"/>
      <c r="Q169" s="134"/>
      <c r="R169" s="1"/>
      <c r="W169" s="162"/>
    </row>
    <row r="170" spans="2:23" ht="16" customHeight="1">
      <c r="B170" s="1"/>
      <c r="C170" s="1"/>
      <c r="D170" s="1"/>
      <c r="E170" s="1"/>
      <c r="F170" s="166"/>
      <c r="G170" s="166"/>
      <c r="H170" s="166"/>
      <c r="I170" s="166"/>
      <c r="J170" s="166"/>
      <c r="K170" s="1"/>
      <c r="L170" s="134"/>
      <c r="M170" s="134"/>
      <c r="N170" s="134"/>
      <c r="O170" s="134"/>
      <c r="P170" s="134"/>
      <c r="Q170" s="134"/>
      <c r="R170" s="1"/>
    </row>
    <row r="171" spans="2:23" ht="16" customHeight="1">
      <c r="B171" s="1"/>
      <c r="C171" s="1"/>
      <c r="D171" s="42"/>
      <c r="E171" s="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1"/>
      <c r="Q171" s="1"/>
      <c r="R171" s="1"/>
    </row>
    <row r="172" spans="2:23" ht="16" customHeight="1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5"/>
      <c r="O172" s="34"/>
      <c r="P172" s="34"/>
      <c r="Q172" s="34"/>
      <c r="R172" s="34"/>
    </row>
    <row r="173" spans="2:23" ht="16" customHeight="1">
      <c r="B173" s="110" t="s">
        <v>208</v>
      </c>
      <c r="C173" s="102"/>
      <c r="D173" s="111"/>
      <c r="E173" s="102"/>
      <c r="F173" s="102"/>
      <c r="G173" s="111"/>
      <c r="H173" s="11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3"/>
    </row>
    <row r="174" spans="2:23" ht="16" customHeight="1">
      <c r="B174" s="93"/>
      <c r="D174" s="113"/>
      <c r="G174" s="113"/>
      <c r="H174" s="114"/>
      <c r="R174" s="115"/>
    </row>
    <row r="175" spans="2:23" ht="16" customHeight="1">
      <c r="B175" s="116" t="s">
        <v>209</v>
      </c>
      <c r="D175" s="113"/>
      <c r="F175" s="84">
        <f>F14</f>
        <v>2025</v>
      </c>
      <c r="G175" s="84">
        <f>G14</f>
        <v>2026</v>
      </c>
      <c r="H175" s="84">
        <f>H14</f>
        <v>2027</v>
      </c>
      <c r="I175" s="84">
        <f>I14</f>
        <v>2028</v>
      </c>
      <c r="J175" s="84">
        <f>J14</f>
        <v>2029</v>
      </c>
      <c r="R175" s="115"/>
    </row>
    <row r="176" spans="2:23" ht="16" customHeight="1">
      <c r="B176" s="93"/>
      <c r="C176" s="83" t="s">
        <v>210</v>
      </c>
      <c r="F176" s="117">
        <f ca="1">F37</f>
        <v>27.184665219848739</v>
      </c>
      <c r="G176" s="117">
        <f ca="1">G37</f>
        <v>43.373908943624741</v>
      </c>
      <c r="H176" s="117">
        <f ca="1">H37</f>
        <v>52.986884572979733</v>
      </c>
      <c r="I176" s="117">
        <f ca="1">I37</f>
        <v>62.151775488748513</v>
      </c>
      <c r="J176" s="117">
        <f ca="1">J37</f>
        <v>72.041054962021775</v>
      </c>
      <c r="R176" s="115"/>
    </row>
    <row r="177" spans="2:18" ht="16" customHeight="1">
      <c r="B177" s="93"/>
      <c r="C177" s="83" t="s">
        <v>211</v>
      </c>
      <c r="F177" s="117">
        <f ca="1">F78</f>
        <v>0</v>
      </c>
      <c r="G177" s="117">
        <f ca="1">G78</f>
        <v>0</v>
      </c>
      <c r="H177" s="117">
        <f ca="1">H78</f>
        <v>0</v>
      </c>
      <c r="I177" s="117">
        <f ca="1">I78</f>
        <v>0</v>
      </c>
      <c r="J177" s="117">
        <f ca="1">J78</f>
        <v>0</v>
      </c>
      <c r="R177" s="115"/>
    </row>
    <row r="178" spans="2:18" ht="16" customHeight="1">
      <c r="B178" s="93"/>
      <c r="C178" s="83" t="s">
        <v>212</v>
      </c>
      <c r="F178" s="85">
        <f>F183+F189</f>
        <v>-3.1859999999999982</v>
      </c>
      <c r="G178" s="85">
        <f ca="1">G183+G189</f>
        <v>-3.1859999999999982</v>
      </c>
      <c r="H178" s="85">
        <f ca="1">H183+H189</f>
        <v>-3.1859999999999982</v>
      </c>
      <c r="I178" s="85">
        <f ca="1">I183+I189</f>
        <v>-3.0545412635467022</v>
      </c>
      <c r="J178" s="85">
        <f ca="1">J183+J189</f>
        <v>57.097234225201809</v>
      </c>
      <c r="R178" s="115"/>
    </row>
    <row r="179" spans="2:18" ht="16" customHeight="1">
      <c r="B179" s="93"/>
      <c r="C179" s="83" t="s">
        <v>213</v>
      </c>
      <c r="F179" s="117">
        <f ca="1">SUM(F176:F178)</f>
        <v>23.998665219848739</v>
      </c>
      <c r="G179" s="117">
        <f ca="1">SUM(G176:G178)</f>
        <v>40.187908943624741</v>
      </c>
      <c r="H179" s="117">
        <f ca="1">SUM(H176:H178)</f>
        <v>49.800884572979733</v>
      </c>
      <c r="I179" s="117">
        <f ca="1">SUM(I176:I178)</f>
        <v>59.097234225201809</v>
      </c>
      <c r="J179" s="117">
        <f ca="1">SUM(J176:J178)</f>
        <v>129.13828918722359</v>
      </c>
      <c r="R179" s="115"/>
    </row>
    <row r="180" spans="2:18" ht="16" customHeight="1">
      <c r="B180" s="93"/>
      <c r="R180" s="115"/>
    </row>
    <row r="181" spans="2:18" ht="16" customHeight="1">
      <c r="B181" s="93"/>
      <c r="C181" s="118" t="s">
        <v>214</v>
      </c>
      <c r="R181" s="115"/>
    </row>
    <row r="182" spans="2:18" ht="16" customHeight="1">
      <c r="B182" s="93"/>
      <c r="C182" s="83" t="s">
        <v>215</v>
      </c>
      <c r="E182" s="119">
        <f>G105</f>
        <v>118.59999999999989</v>
      </c>
      <c r="F182" s="120">
        <f>E182</f>
        <v>118.59999999999989</v>
      </c>
      <c r="G182" s="120">
        <f ca="1">F185</f>
        <v>93.41533478015117</v>
      </c>
      <c r="H182" s="120">
        <f ca="1">G185</f>
        <v>52.041425836526436</v>
      </c>
      <c r="I182" s="120">
        <f ca="1">H185</f>
        <v>1.0545412635467031</v>
      </c>
      <c r="J182" s="120">
        <f ca="1">I185</f>
        <v>-59.097234225201809</v>
      </c>
      <c r="R182" s="115"/>
    </row>
    <row r="183" spans="2:18" ht="16" customHeight="1">
      <c r="B183" s="93"/>
      <c r="C183" s="83" t="s">
        <v>216</v>
      </c>
      <c r="D183" s="318">
        <v>0.01</v>
      </c>
      <c r="E183" s="119">
        <f>D183*E182</f>
        <v>1.1859999999999991</v>
      </c>
      <c r="F183" s="120">
        <f>-MIN($E183,F182)</f>
        <v>-1.1859999999999991</v>
      </c>
      <c r="G183" s="120">
        <f ca="1">-MIN($E183,G182)</f>
        <v>-1.1859999999999991</v>
      </c>
      <c r="H183" s="120">
        <f ca="1">-MIN($E183,H182)</f>
        <v>-1.1859999999999991</v>
      </c>
      <c r="I183" s="120">
        <f ca="1">-MIN($E183,I182)</f>
        <v>-1.0545412635467031</v>
      </c>
      <c r="J183" s="120">
        <f ca="1">-MIN($E183,J182)</f>
        <v>59.097234225201809</v>
      </c>
      <c r="L183" s="131" t="s">
        <v>217</v>
      </c>
      <c r="R183" s="115"/>
    </row>
    <row r="184" spans="2:18" ht="16" customHeight="1">
      <c r="B184" s="93"/>
      <c r="C184" s="83" t="s">
        <v>218</v>
      </c>
      <c r="F184" s="86">
        <f ca="1">-F179</f>
        <v>-23.998665219848739</v>
      </c>
      <c r="G184" s="86">
        <f ca="1">-G179</f>
        <v>-40.187908943624741</v>
      </c>
      <c r="H184" s="86">
        <f ca="1">-H179</f>
        <v>-49.800884572979733</v>
      </c>
      <c r="I184" s="86">
        <f ca="1">-I179</f>
        <v>-59.097234225201809</v>
      </c>
      <c r="J184" s="86">
        <f ca="1">-J179</f>
        <v>-129.13828918722359</v>
      </c>
      <c r="R184" s="115"/>
    </row>
    <row r="185" spans="2:18" ht="16" customHeight="1">
      <c r="B185" s="93"/>
      <c r="C185" s="83" t="s">
        <v>219</v>
      </c>
      <c r="E185" s="119">
        <f>E182</f>
        <v>118.59999999999989</v>
      </c>
      <c r="F185" s="120">
        <f ca="1">SUM(F182:F184)</f>
        <v>93.41533478015117</v>
      </c>
      <c r="G185" s="120">
        <f ca="1">SUM(G182:G184)</f>
        <v>52.041425836526436</v>
      </c>
      <c r="H185" s="120">
        <f ca="1">SUM(H182:H184)</f>
        <v>1.0545412635467031</v>
      </c>
      <c r="I185" s="120">
        <f ca="1">SUM(I182:I184)</f>
        <v>-59.097234225201809</v>
      </c>
      <c r="J185" s="120">
        <f ca="1">SUM(J182:J184)</f>
        <v>-129.13828918722359</v>
      </c>
      <c r="R185" s="115"/>
    </row>
    <row r="186" spans="2:18" ht="16" customHeight="1">
      <c r="B186" s="93"/>
      <c r="D186" s="113"/>
      <c r="G186" s="113"/>
      <c r="H186" s="114"/>
      <c r="R186" s="115"/>
    </row>
    <row r="187" spans="2:18" ht="16" customHeight="1">
      <c r="B187" s="93"/>
      <c r="C187" s="118" t="s">
        <v>220</v>
      </c>
      <c r="E187" s="119"/>
      <c r="F187" s="84"/>
      <c r="G187" s="84"/>
      <c r="H187" s="84"/>
      <c r="I187" s="84"/>
      <c r="J187" s="84"/>
      <c r="R187" s="115"/>
    </row>
    <row r="188" spans="2:18" ht="16" customHeight="1">
      <c r="B188" s="93"/>
      <c r="C188" s="83" t="s">
        <v>215</v>
      </c>
      <c r="E188" s="119">
        <f>G106</f>
        <v>199.99999999999991</v>
      </c>
      <c r="F188" s="120">
        <f>E188</f>
        <v>199.99999999999991</v>
      </c>
      <c r="G188" s="120">
        <f ca="1">F191</f>
        <v>197.99999999999991</v>
      </c>
      <c r="H188" s="120">
        <f ca="1">G191</f>
        <v>195.99999999999991</v>
      </c>
      <c r="I188" s="120">
        <f ca="1">H191</f>
        <v>193.99999999999991</v>
      </c>
      <c r="J188" s="120">
        <f ca="1">I191</f>
        <v>191.99999999999991</v>
      </c>
      <c r="R188" s="115"/>
    </row>
    <row r="189" spans="2:18" ht="16" customHeight="1">
      <c r="B189" s="93"/>
      <c r="C189" s="83" t="s">
        <v>216</v>
      </c>
      <c r="D189" s="318">
        <v>0.01</v>
      </c>
      <c r="E189" s="119">
        <f>D189*E188</f>
        <v>1.9999999999999991</v>
      </c>
      <c r="F189" s="120">
        <f>-MIN($E189,F188)</f>
        <v>-1.9999999999999991</v>
      </c>
      <c r="G189" s="120">
        <f ca="1">-MIN($E189,G188)</f>
        <v>-1.9999999999999991</v>
      </c>
      <c r="H189" s="120">
        <f ca="1">-MIN($E189,H188)</f>
        <v>-1.9999999999999991</v>
      </c>
      <c r="I189" s="120">
        <f ca="1">-MIN($E189,I188)</f>
        <v>-1.9999999999999991</v>
      </c>
      <c r="J189" s="120">
        <f ca="1">-MIN($E189,J188)</f>
        <v>-1.9999999999999991</v>
      </c>
      <c r="L189" s="131" t="s">
        <v>217</v>
      </c>
      <c r="R189" s="115"/>
    </row>
    <row r="190" spans="2:18" ht="16" customHeight="1">
      <c r="B190" s="93"/>
      <c r="C190" s="83" t="s">
        <v>221</v>
      </c>
      <c r="F190" s="86">
        <f ca="1">F177</f>
        <v>0</v>
      </c>
      <c r="G190" s="86">
        <f ca="1">G177</f>
        <v>0</v>
      </c>
      <c r="H190" s="86">
        <f ca="1">H177</f>
        <v>0</v>
      </c>
      <c r="I190" s="86">
        <f ca="1">I177</f>
        <v>0</v>
      </c>
      <c r="J190" s="86">
        <f ca="1">J177</f>
        <v>0</v>
      </c>
      <c r="R190" s="115"/>
    </row>
    <row r="191" spans="2:18" ht="16" customHeight="1">
      <c r="B191" s="93"/>
      <c r="C191" s="83" t="s">
        <v>219</v>
      </c>
      <c r="E191" s="119">
        <f>E188</f>
        <v>199.99999999999991</v>
      </c>
      <c r="F191" s="120">
        <f ca="1">SUM(F188:F190)</f>
        <v>197.99999999999991</v>
      </c>
      <c r="G191" s="120">
        <f ca="1">SUM(G188:G190)</f>
        <v>195.99999999999991</v>
      </c>
      <c r="H191" s="120">
        <f ca="1">SUM(H188:H190)</f>
        <v>193.99999999999991</v>
      </c>
      <c r="I191" s="120">
        <f ca="1">SUM(I188:I190)</f>
        <v>191.99999999999991</v>
      </c>
      <c r="J191" s="120">
        <f ca="1">SUM(J188:J190)</f>
        <v>189.99999999999991</v>
      </c>
      <c r="R191" s="115"/>
    </row>
    <row r="192" spans="2:18" ht="16" customHeight="1">
      <c r="B192" s="93"/>
      <c r="D192" s="113"/>
      <c r="G192" s="113"/>
      <c r="H192" s="114"/>
      <c r="R192" s="115"/>
    </row>
    <row r="193" spans="2:18" ht="16" customHeight="1">
      <c r="B193" s="93"/>
      <c r="C193" s="83" t="s">
        <v>222</v>
      </c>
      <c r="E193" s="117">
        <f t="shared" ref="E193:J193" si="9">E191+E185</f>
        <v>318.5999999999998</v>
      </c>
      <c r="F193" s="117">
        <f t="shared" ca="1" si="9"/>
        <v>291.41533478015106</v>
      </c>
      <c r="G193" s="117">
        <f t="shared" ca="1" si="9"/>
        <v>248.04142583652634</v>
      </c>
      <c r="H193" s="117">
        <f t="shared" ca="1" si="9"/>
        <v>195.05454126354661</v>
      </c>
      <c r="I193" s="117">
        <f t="shared" ca="1" si="9"/>
        <v>132.9027657747981</v>
      </c>
      <c r="J193" s="117">
        <f t="shared" ca="1" si="9"/>
        <v>60.861710812776323</v>
      </c>
      <c r="R193" s="115"/>
    </row>
    <row r="194" spans="2:18" ht="16" customHeight="1">
      <c r="B194" s="93"/>
      <c r="C194" s="83" t="s">
        <v>223</v>
      </c>
      <c r="E194" s="117"/>
      <c r="F194" s="117">
        <f ca="1">E193-F193</f>
        <v>27.184665219848739</v>
      </c>
      <c r="G194" s="117">
        <f ca="1">F193-G193</f>
        <v>43.373908943624713</v>
      </c>
      <c r="H194" s="117">
        <f ca="1">G193-H193</f>
        <v>52.986884572979733</v>
      </c>
      <c r="I194" s="117">
        <f ca="1">H193-I193</f>
        <v>62.151775488748513</v>
      </c>
      <c r="J194" s="117">
        <f ca="1">I193-J193</f>
        <v>72.041054962021775</v>
      </c>
      <c r="R194" s="115"/>
    </row>
    <row r="195" spans="2:18" ht="16" customHeight="1">
      <c r="B195" s="93"/>
      <c r="C195" s="121" t="s">
        <v>224</v>
      </c>
      <c r="D195" s="121"/>
      <c r="E195" s="121"/>
      <c r="F195" s="122"/>
      <c r="G195" s="122"/>
      <c r="H195" s="122"/>
      <c r="I195" s="122"/>
      <c r="J195" s="122"/>
      <c r="R195" s="115"/>
    </row>
    <row r="196" spans="2:18" ht="16" customHeight="1">
      <c r="B196" s="93"/>
      <c r="G196" s="133"/>
      <c r="R196" s="115"/>
    </row>
    <row r="197" spans="2:18" ht="16" customHeight="1">
      <c r="B197" s="93"/>
      <c r="J197" s="118" t="s">
        <v>225</v>
      </c>
      <c r="R197" s="115"/>
    </row>
    <row r="198" spans="2:18" ht="16" customHeight="1">
      <c r="B198" s="116" t="s">
        <v>226</v>
      </c>
      <c r="E198" s="123"/>
      <c r="F198" s="84">
        <f>F175</f>
        <v>2025</v>
      </c>
      <c r="G198" s="84">
        <f>G175</f>
        <v>2026</v>
      </c>
      <c r="H198" s="84">
        <f>H175</f>
        <v>2027</v>
      </c>
      <c r="I198" s="84">
        <f>I175</f>
        <v>2028</v>
      </c>
      <c r="J198" s="84">
        <f>J175</f>
        <v>2029</v>
      </c>
      <c r="R198" s="115"/>
    </row>
    <row r="199" spans="2:18" ht="16" customHeight="1">
      <c r="B199" s="93"/>
      <c r="C199" s="83" t="s">
        <v>99</v>
      </c>
      <c r="D199" s="94"/>
      <c r="E199" s="94"/>
      <c r="F199" s="107">
        <f>F29</f>
        <v>94.973724173655057</v>
      </c>
      <c r="G199" s="107">
        <f>G29</f>
        <v>113.36953689804338</v>
      </c>
      <c r="H199" s="107">
        <f>H29</f>
        <v>126.25968065736205</v>
      </c>
      <c r="I199" s="107">
        <f>I29</f>
        <v>141.17982239588247</v>
      </c>
      <c r="J199" s="107">
        <f>J29</f>
        <v>157.9672053492458</v>
      </c>
      <c r="R199" s="115"/>
    </row>
    <row r="200" spans="2:18" ht="16" customHeight="1">
      <c r="B200" s="93"/>
      <c r="C200" s="83" t="s">
        <v>227</v>
      </c>
      <c r="D200" s="94"/>
      <c r="E200" s="94"/>
      <c r="F200" s="87">
        <f>H116</f>
        <v>9.7614664582103305</v>
      </c>
      <c r="G200" s="87">
        <f>F200</f>
        <v>9.7614664582103305</v>
      </c>
      <c r="H200" s="87">
        <f>G200</f>
        <v>9.7614664582103305</v>
      </c>
      <c r="I200" s="87">
        <f>H200</f>
        <v>9.7614664582103305</v>
      </c>
      <c r="J200" s="87">
        <f>I200</f>
        <v>9.7614664582103305</v>
      </c>
      <c r="R200" s="115"/>
    </row>
    <row r="201" spans="2:18" ht="16" customHeight="1">
      <c r="B201" s="93"/>
      <c r="C201" s="83" t="s">
        <v>228</v>
      </c>
      <c r="D201" s="124"/>
      <c r="E201" s="124"/>
      <c r="F201" s="125">
        <f>F199*F200</f>
        <v>927.0828229324535</v>
      </c>
      <c r="G201" s="126">
        <f>G199*G200</f>
        <v>1106.6529318130888</v>
      </c>
      <c r="H201" s="126">
        <f>H199*H200</f>
        <v>1232.4796377611874</v>
      </c>
      <c r="I201" s="126">
        <f>I199*I200</f>
        <v>1378.1221008934983</v>
      </c>
      <c r="J201" s="126">
        <f>J199*J200</f>
        <v>1541.9915765138865</v>
      </c>
      <c r="R201" s="115"/>
    </row>
    <row r="202" spans="2:18" ht="16" customHeight="1">
      <c r="B202" s="93"/>
      <c r="C202" s="83" t="s">
        <v>229</v>
      </c>
      <c r="D202" s="94"/>
      <c r="E202" s="94"/>
      <c r="F202" s="88">
        <f ca="1">-F193</f>
        <v>-291.41533478015106</v>
      </c>
      <c r="G202" s="88">
        <f ca="1">-G193</f>
        <v>-248.04142583652634</v>
      </c>
      <c r="H202" s="88">
        <f ca="1">-H193</f>
        <v>-195.05454126354661</v>
      </c>
      <c r="I202" s="88">
        <f ca="1">-I193</f>
        <v>-132.9027657747981</v>
      </c>
      <c r="J202" s="88">
        <f ca="1">-J193</f>
        <v>-60.861710812776323</v>
      </c>
      <c r="R202" s="115"/>
    </row>
    <row r="203" spans="2:18" ht="16" customHeight="1">
      <c r="B203" s="93"/>
      <c r="C203" s="83" t="s">
        <v>230</v>
      </c>
      <c r="D203" s="94"/>
      <c r="E203" s="94"/>
      <c r="F203" s="95">
        <f ca="1">F201+F202</f>
        <v>635.66748815230244</v>
      </c>
      <c r="G203" s="95">
        <f ca="1">G201+G202</f>
        <v>858.61150597656251</v>
      </c>
      <c r="H203" s="95">
        <f ca="1">H201+H202</f>
        <v>1037.4250964976409</v>
      </c>
      <c r="I203" s="95">
        <f ca="1">I201+I202</f>
        <v>1245.2193351187002</v>
      </c>
      <c r="J203" s="95">
        <f ca="1">J201+J202</f>
        <v>1481.1298657011102</v>
      </c>
      <c r="R203" s="115"/>
    </row>
    <row r="204" spans="2:18" ht="7" customHeight="1">
      <c r="B204" s="93"/>
      <c r="D204" s="94"/>
      <c r="E204" s="94"/>
      <c r="G204" s="113"/>
      <c r="H204" s="114"/>
      <c r="R204" s="115"/>
    </row>
    <row r="205" spans="2:18" ht="16" customHeight="1">
      <c r="B205" s="93"/>
      <c r="C205" s="83" t="s">
        <v>231</v>
      </c>
      <c r="D205" s="94"/>
      <c r="E205" s="94"/>
      <c r="F205" s="63">
        <f ca="1">IF(F203&gt;$J$120,$F$120,0)+IF(F203&gt;$J$121,$F$121,0)+IF(F203&gt;$J$122,$F$122,0)</f>
        <v>7.0000000000000007E-2</v>
      </c>
      <c r="G205" s="63">
        <f ca="1">IF(G203&gt;$J$120,$F$120,0)+IF(G203&gt;$J$121,$F$121,0)+IF(G203&gt;$J$122,$F$122,0)</f>
        <v>7.0000000000000007E-2</v>
      </c>
      <c r="H205" s="63">
        <f ca="1">IF(H203&gt;$J$120,$F$120,0)+IF(H203&gt;$J$121,$F$121,0)+IF(H203&gt;$J$122,$F$122,0)</f>
        <v>7.0000000000000007E-2</v>
      </c>
      <c r="I205" s="63">
        <f ca="1">IF(I203&gt;$J$120,$F$120,0)+IF(I203&gt;$J$121,$F$121,0)+IF(I203&gt;$J$122,$F$122,0)</f>
        <v>7.0000000000000007E-2</v>
      </c>
      <c r="J205" s="63">
        <f ca="1">IF(J203&gt;$J$120,$F$120,0)+IF(J203&gt;$J$121,$F$121,0)+IF(J203&gt;$J$122,$F$122,0)</f>
        <v>7.0000000000000007E-2</v>
      </c>
      <c r="K205" s="63"/>
      <c r="R205" s="115"/>
    </row>
    <row r="206" spans="2:18" ht="16" customHeight="1">
      <c r="B206" s="93"/>
      <c r="C206" s="83" t="s">
        <v>232</v>
      </c>
      <c r="D206" s="94"/>
      <c r="E206" s="94"/>
      <c r="F206" s="117">
        <f ca="1">F205*F203</f>
        <v>44.496724170661174</v>
      </c>
      <c r="G206" s="117">
        <f ca="1">G205*G203</f>
        <v>60.102805418359381</v>
      </c>
      <c r="H206" s="117">
        <f ca="1">H205*H203</f>
        <v>72.619756754834867</v>
      </c>
      <c r="I206" s="117">
        <f ca="1">I205*I203</f>
        <v>87.165353458309028</v>
      </c>
      <c r="J206" s="117">
        <f ca="1">J205*J203</f>
        <v>103.67909059907772</v>
      </c>
      <c r="R206" s="115"/>
    </row>
    <row r="207" spans="2:18" ht="16" customHeight="1">
      <c r="B207" s="93"/>
      <c r="C207" s="83" t="s">
        <v>233</v>
      </c>
      <c r="D207" s="94"/>
      <c r="E207" s="94"/>
      <c r="F207" s="85">
        <f ca="1">-$H$108/(1-F205)*F205</f>
        <v>-29.836559139784967</v>
      </c>
      <c r="G207" s="85">
        <f ca="1">-$H$108/(1-G205)*G205</f>
        <v>-29.836559139784967</v>
      </c>
      <c r="H207" s="85">
        <f ca="1">-$H$108/(1-H205)*H205</f>
        <v>-29.836559139784967</v>
      </c>
      <c r="I207" s="85">
        <f ca="1">-$H$108/(1-I205)*I205</f>
        <v>-29.836559139784967</v>
      </c>
      <c r="J207" s="85">
        <f ca="1">-$H$108/(1-J205)*J205</f>
        <v>-29.836559139784967</v>
      </c>
      <c r="R207" s="115"/>
    </row>
    <row r="208" spans="2:18" ht="16" customHeight="1">
      <c r="B208" s="93"/>
      <c r="C208" s="83" t="s">
        <v>234</v>
      </c>
      <c r="D208" s="94"/>
      <c r="E208" s="94"/>
      <c r="F208" s="117">
        <f ca="1">F206+F207</f>
        <v>14.660165030876207</v>
      </c>
      <c r="G208" s="117">
        <f ca="1">G206+G207</f>
        <v>30.266246278574414</v>
      </c>
      <c r="H208" s="117">
        <f ca="1">H206+H207</f>
        <v>42.7831976150499</v>
      </c>
      <c r="I208" s="117">
        <f ca="1">I206+I207</f>
        <v>57.328794318524061</v>
      </c>
      <c r="J208" s="117">
        <f ca="1">J206+J207</f>
        <v>73.842531459292758</v>
      </c>
      <c r="R208" s="115"/>
    </row>
    <row r="209" spans="2:18" ht="7" customHeight="1">
      <c r="B209" s="93"/>
      <c r="D209" s="94"/>
      <c r="E209" s="94"/>
      <c r="G209" s="113"/>
      <c r="H209" s="114"/>
      <c r="R209" s="115"/>
    </row>
    <row r="210" spans="2:18" ht="16" customHeight="1">
      <c r="B210" s="93"/>
      <c r="C210" s="83" t="s">
        <v>235</v>
      </c>
      <c r="F210" s="127">
        <f ca="1">F203-F208</f>
        <v>621.00732312142623</v>
      </c>
      <c r="G210" s="127">
        <f ca="1">G203-G208</f>
        <v>828.34525969798813</v>
      </c>
      <c r="H210" s="127">
        <f ca="1">H203-H208</f>
        <v>994.64189888259102</v>
      </c>
      <c r="I210" s="127">
        <f ca="1">I203-I208</f>
        <v>1187.890540800176</v>
      </c>
      <c r="J210" s="127">
        <f ca="1">J203-J208</f>
        <v>1407.2873342418175</v>
      </c>
      <c r="R210" s="115"/>
    </row>
    <row r="211" spans="2:18" ht="16" customHeight="1">
      <c r="B211" s="93"/>
      <c r="R211" s="115"/>
    </row>
    <row r="212" spans="2:18">
      <c r="B212" s="93"/>
      <c r="C212" s="89" t="s">
        <v>236</v>
      </c>
      <c r="D212" s="90"/>
      <c r="E212" s="90"/>
      <c r="F212" s="91">
        <f ca="1">F210</f>
        <v>621.00732312142623</v>
      </c>
      <c r="G212" s="91">
        <f ca="1">G210</f>
        <v>828.34525969798813</v>
      </c>
      <c r="H212" s="91">
        <f ca="1">H210</f>
        <v>994.64189888259102</v>
      </c>
      <c r="I212" s="91">
        <f ca="1">I210</f>
        <v>1187.890540800176</v>
      </c>
      <c r="J212" s="92">
        <f ca="1">J210</f>
        <v>1407.2873342418175</v>
      </c>
      <c r="R212" s="115"/>
    </row>
    <row r="213" spans="2:18">
      <c r="B213" s="93"/>
      <c r="C213" s="93" t="s">
        <v>237</v>
      </c>
      <c r="D213" s="94"/>
      <c r="E213" s="94"/>
      <c r="F213" s="95">
        <f>H108</f>
        <v>396.4000000000002</v>
      </c>
      <c r="G213" s="95">
        <f>F213</f>
        <v>396.4000000000002</v>
      </c>
      <c r="H213" s="95">
        <f>G213</f>
        <v>396.4000000000002</v>
      </c>
      <c r="I213" s="95">
        <f>H213</f>
        <v>396.4000000000002</v>
      </c>
      <c r="J213" s="96">
        <f>I213</f>
        <v>396.4000000000002</v>
      </c>
      <c r="R213" s="115"/>
    </row>
    <row r="214" spans="2:18">
      <c r="B214" s="93"/>
      <c r="C214" s="97" t="s">
        <v>238</v>
      </c>
      <c r="D214" s="98"/>
      <c r="E214" s="98"/>
      <c r="F214" s="99">
        <f ca="1">F212/F213</f>
        <v>1.5666178686211552</v>
      </c>
      <c r="G214" s="99">
        <f ca="1">G212/G213</f>
        <v>2.0896701808728246</v>
      </c>
      <c r="H214" s="99">
        <f ca="1">H212/H213</f>
        <v>2.5091874341134979</v>
      </c>
      <c r="I214" s="99">
        <f ca="1">I212/I213</f>
        <v>2.9966966215947917</v>
      </c>
      <c r="J214" s="100">
        <f ca="1">J212/J213</f>
        <v>3.5501698643839976</v>
      </c>
      <c r="R214" s="115"/>
    </row>
    <row r="215" spans="2:18">
      <c r="B215" s="93"/>
      <c r="C215" s="89" t="s">
        <v>239</v>
      </c>
      <c r="D215" s="101"/>
      <c r="E215" s="101"/>
      <c r="F215" s="102">
        <f>1</f>
        <v>1</v>
      </c>
      <c r="G215" s="102">
        <f>F215+1</f>
        <v>2</v>
      </c>
      <c r="H215" s="102">
        <f>G215+1</f>
        <v>3</v>
      </c>
      <c r="I215" s="102">
        <f>H215+1</f>
        <v>4</v>
      </c>
      <c r="J215" s="103">
        <f>I215+1</f>
        <v>5</v>
      </c>
      <c r="R215" s="115"/>
    </row>
    <row r="216" spans="2:18">
      <c r="B216" s="93"/>
      <c r="C216" s="97" t="s">
        <v>240</v>
      </c>
      <c r="D216" s="104"/>
      <c r="E216" s="104"/>
      <c r="F216" s="105">
        <f ca="1">F214^(1/F215)-1</f>
        <v>0.56661786862115515</v>
      </c>
      <c r="G216" s="105">
        <f ca="1">G214^(1/G215)-1</f>
        <v>0.44556915464906921</v>
      </c>
      <c r="H216" s="105">
        <f ca="1">H214^(1/H215)-1</f>
        <v>0.35886934468039633</v>
      </c>
      <c r="I216" s="105">
        <f ca="1">I214^(1/I215)-1</f>
        <v>0.31571157238551173</v>
      </c>
      <c r="J216" s="106">
        <f ca="1">J214^(1/J215)-1</f>
        <v>0.28839736112509384</v>
      </c>
      <c r="R216" s="115"/>
    </row>
    <row r="217" spans="2:18">
      <c r="B217" s="128"/>
      <c r="C217" s="129"/>
      <c r="D217" s="104"/>
      <c r="E217" s="104"/>
      <c r="F217" s="129"/>
      <c r="G217" s="129"/>
      <c r="H217" s="129"/>
      <c r="I217" s="129"/>
      <c r="J217" s="129"/>
      <c r="K217" s="129"/>
      <c r="L217" s="129"/>
      <c r="M217" s="129"/>
      <c r="N217" s="129"/>
      <c r="O217" s="129"/>
      <c r="P217" s="129"/>
      <c r="Q217" s="129"/>
      <c r="R217" s="130"/>
    </row>
    <row r="218" spans="2:18">
      <c r="C218" s="83" t="s">
        <v>241</v>
      </c>
      <c r="D218" s="107"/>
    </row>
    <row r="219" spans="2:18">
      <c r="D219" s="108"/>
    </row>
    <row r="220" spans="2:18" ht="20" customHeight="1">
      <c r="C220" s="183"/>
      <c r="D220" s="107"/>
    </row>
    <row r="221" spans="2:18">
      <c r="D221" s="107"/>
      <c r="E221" s="184"/>
    </row>
    <row r="222" spans="2:18">
      <c r="D222" s="107"/>
      <c r="E222" s="94"/>
    </row>
    <row r="223" spans="2:18">
      <c r="D223" s="109"/>
      <c r="E223" s="94"/>
    </row>
    <row r="224" spans="2:18">
      <c r="D224" s="107"/>
    </row>
  </sheetData>
  <mergeCells count="15">
    <mergeCell ref="F13:J13"/>
    <mergeCell ref="C12:K12"/>
    <mergeCell ref="O31:Q31"/>
    <mergeCell ref="L114:Q116"/>
    <mergeCell ref="L70:Q71"/>
    <mergeCell ref="L52:Q54"/>
    <mergeCell ref="L55:Q55"/>
    <mergeCell ref="L142:Q144"/>
    <mergeCell ref="L120:Q122"/>
    <mergeCell ref="L90:Q92"/>
    <mergeCell ref="F118:G118"/>
    <mergeCell ref="L132:Q134"/>
    <mergeCell ref="L106:Q108"/>
    <mergeCell ref="L100:Q102"/>
    <mergeCell ref="I118:J118"/>
  </mergeCells>
  <dataValidations count="6">
    <dataValidation type="list" allowBlank="1" showInputMessage="1" showErrorMessage="1" sqref="D6" xr:uid="{00000000-0002-0000-0000-000000000000}">
      <formula1>"None, Base, High"</formula1>
    </dataValidation>
    <dataValidation type="list" allowBlank="1" showInputMessage="1" showErrorMessage="1" sqref="D4" xr:uid="{00000000-0002-0000-0000-000001000000}">
      <formula1>"Yes,No"</formula1>
    </dataValidation>
    <dataValidation type="list" allowBlank="1" showInputMessage="1" showErrorMessage="1" sqref="D5" xr:uid="{00000000-0002-0000-0000-000002000000}">
      <formula1>"High, Base, None"</formula1>
    </dataValidation>
    <dataValidation type="list" allowBlank="1" showInputMessage="1" showErrorMessage="1" sqref="D7" xr:uid="{00000000-0002-0000-0000-000003000000}">
      <formula1>"Base, Recession"</formula1>
    </dataValidation>
    <dataValidation type="list" allowBlank="1" showInputMessage="1" showErrorMessage="1" sqref="D9" xr:uid="{00000000-0002-0000-0000-000004000000}">
      <formula1>"Flat, Forward Curve"</formula1>
    </dataValidation>
    <dataValidation type="list" allowBlank="1" showInputMessage="1" showErrorMessage="1" sqref="D8" xr:uid="{00000000-0002-0000-0000-000005000000}">
      <formula1>"No, Yes"</formula1>
    </dataValidation>
  </dataValidations>
  <pageMargins left="0.7" right="0.7" top="0.75" bottom="0.75" header="0.3" footer="0.3"/>
  <pageSetup scale="68" fitToHeight="5" orientation="landscape" horizontalDpi="1200" verticalDpi="1200"/>
  <rowBreaks count="4" manualBreakCount="4">
    <brk id="45" max="16383" man="1"/>
    <brk id="94" max="18" man="1"/>
    <brk id="125" max="18" man="1"/>
    <brk id="170" max="18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/>
    <pageSetUpPr autoPageBreaks="0"/>
  </sheetPr>
  <dimension ref="A1:X119"/>
  <sheetViews>
    <sheetView showGridLines="0" zoomScaleNormal="100" workbookViewId="0">
      <pane xSplit="3" ySplit="7" topLeftCell="D8" activePane="bottomRight" state="frozen"/>
      <selection activeCell="C55" sqref="C55"/>
      <selection pane="topRight" activeCell="C55" sqref="C55"/>
      <selection pane="bottomLeft" activeCell="C55" sqref="C55"/>
      <selection pane="bottomRight" activeCell="X26" sqref="X26"/>
    </sheetView>
  </sheetViews>
  <sheetFormatPr defaultColWidth="8.33203125" defaultRowHeight="12" customHeight="1" outlineLevelCol="1"/>
  <cols>
    <col min="1" max="1" width="2.5" style="384" customWidth="1"/>
    <col min="2" max="2" width="20.5" style="384" customWidth="1"/>
    <col min="3" max="3" width="9.83203125" style="384" customWidth="1"/>
    <col min="4" max="7" width="9.33203125" style="384" customWidth="1"/>
    <col min="8" max="9" width="9.33203125" style="385" customWidth="1" outlineLevel="1"/>
    <col min="10" max="10" width="9.33203125" style="386" customWidth="1" outlineLevel="1"/>
    <col min="11" max="11" width="9.33203125" style="385" customWidth="1" outlineLevel="1"/>
    <col min="12" max="12" width="9.83203125" style="387" customWidth="1"/>
    <col min="13" max="15" width="8.5" style="385" customWidth="1" outlineLevel="1"/>
    <col min="16" max="16" width="9" style="385" customWidth="1" outlineLevel="1"/>
    <col min="17" max="17" width="9.33203125" style="387" customWidth="1"/>
    <col min="18" max="22" width="8.5" style="384" bestFit="1" customWidth="1"/>
    <col min="23" max="23" width="8.33203125" style="384" customWidth="1"/>
    <col min="24" max="24" width="8.5" style="384" bestFit="1" customWidth="1"/>
    <col min="25" max="25" width="8.33203125" style="384" customWidth="1"/>
    <col min="26" max="16384" width="8.33203125" style="384"/>
  </cols>
  <sheetData>
    <row r="1" spans="1:22" ht="12" customHeight="1">
      <c r="A1" s="383"/>
    </row>
    <row r="2" spans="1:22" ht="12" customHeight="1">
      <c r="A2" s="388"/>
    </row>
    <row r="3" spans="1:22" ht="12" customHeight="1">
      <c r="A3" s="388"/>
    </row>
    <row r="4" spans="1:22" ht="12" customHeight="1">
      <c r="B4" s="389" t="s">
        <v>242</v>
      </c>
      <c r="C4" s="390"/>
      <c r="D4" s="390"/>
      <c r="E4" s="390"/>
      <c r="F4" s="390"/>
      <c r="G4" s="390"/>
      <c r="H4" s="391"/>
      <c r="I4" s="391"/>
      <c r="J4" s="392"/>
      <c r="K4" s="391"/>
      <c r="L4" s="393"/>
      <c r="M4" s="394"/>
      <c r="N4" s="394"/>
      <c r="O4" s="394"/>
      <c r="P4" s="394"/>
      <c r="Q4" s="395"/>
      <c r="R4" s="390"/>
      <c r="S4" s="390"/>
      <c r="T4" s="390"/>
      <c r="U4" s="390"/>
      <c r="V4" s="390"/>
    </row>
    <row r="5" spans="1:22" ht="12" customHeight="1">
      <c r="S5" s="396"/>
    </row>
    <row r="6" spans="1:22" ht="12" customHeight="1">
      <c r="B6" s="397"/>
      <c r="C6" s="398"/>
      <c r="D6" s="399"/>
      <c r="E6" s="399"/>
      <c r="F6" s="400"/>
      <c r="G6" s="401"/>
      <c r="H6" s="402" t="s">
        <v>243</v>
      </c>
      <c r="I6" s="402" t="s">
        <v>244</v>
      </c>
      <c r="J6" s="403" t="s">
        <v>245</v>
      </c>
      <c r="K6" s="402" t="s">
        <v>246</v>
      </c>
      <c r="L6" s="404" t="s">
        <v>247</v>
      </c>
      <c r="M6" s="402" t="s">
        <v>243</v>
      </c>
      <c r="N6" s="402" t="s">
        <v>244</v>
      </c>
      <c r="O6" s="402" t="s">
        <v>245</v>
      </c>
      <c r="P6" s="402" t="s">
        <v>246</v>
      </c>
      <c r="Q6" s="404" t="s">
        <v>247</v>
      </c>
      <c r="R6" s="405" t="s">
        <v>247</v>
      </c>
      <c r="S6" s="406" t="s">
        <v>247</v>
      </c>
      <c r="T6" s="406" t="s">
        <v>247</v>
      </c>
      <c r="U6" s="406" t="s">
        <v>247</v>
      </c>
      <c r="V6" s="406" t="s">
        <v>247</v>
      </c>
    </row>
    <row r="7" spans="1:22" ht="12" customHeight="1">
      <c r="B7" s="407" t="s">
        <v>248</v>
      </c>
      <c r="C7" s="408"/>
      <c r="D7" s="409">
        <v>43830</v>
      </c>
      <c r="E7" s="410">
        <f>EOMONTH(D7,12)</f>
        <v>44196</v>
      </c>
      <c r="F7" s="410">
        <f>EOMONTH(E7,12)</f>
        <v>44561</v>
      </c>
      <c r="G7" s="410">
        <f>EOMONTH(F7,12)</f>
        <v>44926</v>
      </c>
      <c r="H7" s="411">
        <f>EOMONTH(G7,3)</f>
        <v>45016</v>
      </c>
      <c r="I7" s="411">
        <f>EOMONTH(H7,3)</f>
        <v>45107</v>
      </c>
      <c r="J7" s="411">
        <f>EOMONTH(I7,3)</f>
        <v>45199</v>
      </c>
      <c r="K7" s="411">
        <f>EOMONTH(J7,3)</f>
        <v>45291</v>
      </c>
      <c r="L7" s="410">
        <f>EOMONTH(G7,12)</f>
        <v>45291</v>
      </c>
      <c r="M7" s="412">
        <v>45382</v>
      </c>
      <c r="N7" s="411">
        <f>EOMONTH(M7,3)</f>
        <v>45473</v>
      </c>
      <c r="O7" s="411">
        <f>EOMONTH(N7,3)</f>
        <v>45565</v>
      </c>
      <c r="P7" s="411">
        <f>EOMONTH(O7,3)</f>
        <v>45657</v>
      </c>
      <c r="Q7" s="413">
        <f>P7</f>
        <v>45657</v>
      </c>
      <c r="R7" s="414">
        <f>EOMONTH(Q7,12)</f>
        <v>46022</v>
      </c>
      <c r="S7" s="415">
        <f>EOMONTH(R7,12)</f>
        <v>46387</v>
      </c>
      <c r="T7" s="415">
        <f>EOMONTH(S7,12)</f>
        <v>46752</v>
      </c>
      <c r="U7" s="415">
        <f>EOMONTH(T7,12)</f>
        <v>47118</v>
      </c>
      <c r="V7" s="415">
        <f>EOMONTH(U7,12)</f>
        <v>47483</v>
      </c>
    </row>
    <row r="8" spans="1:22" ht="4" customHeight="1">
      <c r="B8" s="416"/>
      <c r="C8" s="398"/>
      <c r="D8" s="417"/>
      <c r="E8" s="417"/>
      <c r="F8" s="417"/>
      <c r="G8" s="417"/>
      <c r="H8" s="418"/>
      <c r="I8" s="418"/>
      <c r="J8" s="419"/>
      <c r="K8" s="418"/>
      <c r="L8" s="420"/>
      <c r="M8" s="421"/>
      <c r="N8" s="421"/>
      <c r="O8" s="421"/>
      <c r="P8" s="421"/>
      <c r="Q8" s="422"/>
      <c r="S8" s="423"/>
    </row>
    <row r="9" spans="1:22" ht="12" customHeight="1">
      <c r="A9" s="424" t="s">
        <v>1</v>
      </c>
      <c r="B9" s="425" t="s">
        <v>249</v>
      </c>
      <c r="C9" s="426"/>
      <c r="D9" s="425"/>
      <c r="E9" s="425"/>
      <c r="F9" s="425"/>
      <c r="G9" s="425"/>
      <c r="H9" s="425"/>
      <c r="I9" s="425"/>
      <c r="J9" s="427"/>
      <c r="K9" s="425"/>
      <c r="L9" s="427"/>
      <c r="M9" s="425"/>
      <c r="N9" s="425"/>
      <c r="O9" s="425"/>
      <c r="P9" s="425"/>
      <c r="Q9" s="427"/>
      <c r="R9" s="425"/>
      <c r="S9" s="425"/>
      <c r="T9" s="425"/>
      <c r="U9" s="425"/>
      <c r="V9" s="425"/>
    </row>
    <row r="10" spans="1:22" ht="4" customHeight="1">
      <c r="B10" s="400"/>
      <c r="C10" s="398"/>
      <c r="D10" s="400"/>
      <c r="E10" s="428"/>
      <c r="F10" s="428"/>
      <c r="G10" s="428"/>
      <c r="H10" s="429"/>
      <c r="I10" s="429"/>
      <c r="J10" s="430"/>
      <c r="K10" s="429"/>
      <c r="L10" s="431"/>
      <c r="M10" s="429"/>
      <c r="N10" s="429"/>
      <c r="O10" s="429"/>
      <c r="P10" s="429"/>
      <c r="Q10" s="432"/>
      <c r="S10" s="423"/>
    </row>
    <row r="11" spans="1:22" ht="12" customHeight="1">
      <c r="B11" s="433" t="s">
        <v>250</v>
      </c>
      <c r="C11" s="398"/>
      <c r="D11" s="434">
        <v>557.20314594000001</v>
      </c>
      <c r="E11" s="434">
        <v>519.1293683099999</v>
      </c>
      <c r="F11" s="434">
        <v>619.67695997999988</v>
      </c>
      <c r="G11" s="434">
        <v>651.93613722999999</v>
      </c>
      <c r="H11" s="435">
        <v>140.03735327000001</v>
      </c>
      <c r="I11" s="435">
        <v>177.34491677</v>
      </c>
      <c r="J11" s="436">
        <v>137.62341760999999</v>
      </c>
      <c r="K11" s="435">
        <v>200.15325828663799</v>
      </c>
      <c r="L11" s="437">
        <v>655.15894593663756</v>
      </c>
      <c r="M11" s="438">
        <f>Q11*$D$74</f>
        <v>154.04096681837476</v>
      </c>
      <c r="N11" s="438">
        <f>Q11*$E$74</f>
        <v>158.88755481891437</v>
      </c>
      <c r="O11" s="438">
        <f>Q11*$F$74</f>
        <v>163.82991375974302</v>
      </c>
      <c r="P11" s="438">
        <f>Q11*$G$74</f>
        <v>193.90227657187216</v>
      </c>
      <c r="Q11" s="439">
        <f>L11*(1+Q12)</f>
        <v>670.66071196890425</v>
      </c>
      <c r="R11" s="440">
        <f>Q11*(1+R12)</f>
        <v>694.82258030829348</v>
      </c>
      <c r="S11" s="441">
        <f>R11*(1+S12)</f>
        <v>719.92128613047498</v>
      </c>
      <c r="T11" s="441">
        <f>S11*(1+T12)</f>
        <v>745.99522595736232</v>
      </c>
      <c r="U11" s="441">
        <f>T11*(1+U12)</f>
        <v>773.08443012523492</v>
      </c>
      <c r="V11" s="441">
        <f>U11*(1+V12)</f>
        <v>801.23063395565657</v>
      </c>
    </row>
    <row r="12" spans="1:22" s="442" customFormat="1" ht="12" customHeight="1">
      <c r="B12" s="443" t="s">
        <v>251</v>
      </c>
      <c r="D12" s="444" t="s">
        <v>252</v>
      </c>
      <c r="E12" s="445">
        <f>IFERROR(+E11/D11-1,0)</f>
        <v>-6.8330155540973769E-2</v>
      </c>
      <c r="F12" s="445">
        <f>IFERROR(+F11/E11-1,0)</f>
        <v>0.19368503846609131</v>
      </c>
      <c r="G12" s="445">
        <f>IFERROR(+G11/F11-1,0)</f>
        <v>5.2058054976001245E-2</v>
      </c>
      <c r="H12" s="446"/>
      <c r="I12" s="446"/>
      <c r="J12" s="447"/>
      <c r="K12" s="446"/>
      <c r="L12" s="448">
        <f>IFERROR(+L11/G11-1,0)</f>
        <v>4.9434423444156828E-3</v>
      </c>
      <c r="M12" s="446">
        <f>M11/H11-1</f>
        <v>9.9999130384698098E-2</v>
      </c>
      <c r="N12" s="446">
        <f>N11/I11-1</f>
        <v>-0.10407606988264073</v>
      </c>
      <c r="O12" s="446">
        <f>O11/J11-1</f>
        <v>0.19042177999101528</v>
      </c>
      <c r="P12" s="446">
        <f>P11/K11-1</f>
        <v>-3.1230976544053268E-2</v>
      </c>
      <c r="Q12" s="449">
        <f>'Top Customer Data'!I31</f>
        <v>2.3661076641645851E-2</v>
      </c>
      <c r="R12" s="450">
        <f>IF(GrowthCase="Recession",0.5%,'Revenue Build'!J43)</f>
        <v>3.6026962528423079E-2</v>
      </c>
      <c r="S12" s="450">
        <f>IF(GrowthCase="Recession",0.5%,'Revenue Build'!K43)</f>
        <v>3.6122467135488279E-2</v>
      </c>
      <c r="T12" s="450">
        <f>IF(GrowthCase="Recession",0.5%,'Revenue Build'!L43)</f>
        <v>3.6217764815696496E-2</v>
      </c>
      <c r="U12" s="450">
        <f>IF(GrowthCase="Recession",0.5%,'Revenue Build'!M43)</f>
        <v>3.6312838507924772E-2</v>
      </c>
      <c r="V12" s="450">
        <f>IF(GrowthCase="Recession",0.5%,'Revenue Build'!N43)</f>
        <v>3.6407671314583556E-2</v>
      </c>
    </row>
    <row r="13" spans="1:22" ht="3" customHeight="1">
      <c r="B13" s="451"/>
      <c r="C13" s="398"/>
      <c r="D13" s="452"/>
      <c r="E13" s="452"/>
      <c r="F13" s="453"/>
      <c r="G13" s="453"/>
      <c r="H13" s="454"/>
      <c r="I13" s="454"/>
      <c r="J13" s="455"/>
      <c r="K13" s="454"/>
      <c r="L13" s="456"/>
      <c r="M13" s="454"/>
      <c r="N13" s="454"/>
      <c r="O13" s="454"/>
      <c r="P13" s="454"/>
      <c r="Q13" s="456"/>
      <c r="R13" s="442"/>
      <c r="S13" s="442"/>
      <c r="T13" s="442"/>
      <c r="U13" s="442"/>
      <c r="V13" s="442"/>
    </row>
    <row r="14" spans="1:22" ht="12" customHeight="1">
      <c r="B14" s="433" t="s">
        <v>253</v>
      </c>
      <c r="C14" s="398"/>
      <c r="D14" s="434">
        <v>81.869708740000007</v>
      </c>
      <c r="E14" s="434">
        <v>75.624606580000005</v>
      </c>
      <c r="F14" s="434">
        <v>85.547616600000012</v>
      </c>
      <c r="G14" s="434">
        <v>89.989896389999984</v>
      </c>
      <c r="H14" s="435">
        <v>23.256294780000001</v>
      </c>
      <c r="I14" s="435">
        <v>25.626924429999999</v>
      </c>
      <c r="J14" s="436">
        <v>26.64538018</v>
      </c>
      <c r="K14" s="435">
        <v>27.020934357633649</v>
      </c>
      <c r="L14" s="437">
        <v>102.5495337476337</v>
      </c>
      <c r="M14" s="438">
        <f>Q14*$D$74</f>
        <v>26.204159659804287</v>
      </c>
      <c r="N14" s="438">
        <f>Q14*$E$74</f>
        <v>27.028620635313317</v>
      </c>
      <c r="O14" s="438">
        <f>Q14*$F$74</f>
        <v>27.869373361399731</v>
      </c>
      <c r="P14" s="438">
        <f>Q14*$G$74</f>
        <v>32.985031960230295</v>
      </c>
      <c r="Q14" s="439">
        <f>L14*(1+Q15)</f>
        <v>114.08718561674762</v>
      </c>
      <c r="R14" s="440">
        <f>Q14*(1+R15)</f>
        <v>125.86906413509604</v>
      </c>
      <c r="S14" s="441">
        <f>R14*(1+S15)</f>
        <v>137.82896844668491</v>
      </c>
      <c r="T14" s="441">
        <f>S14*(1+T15)</f>
        <v>149.77183229954889</v>
      </c>
      <c r="U14" s="441">
        <f>T14*(1+U15)</f>
        <v>162.98588133458313</v>
      </c>
      <c r="V14" s="441">
        <f>U14*(1+V15)</f>
        <v>177.5861167911093</v>
      </c>
    </row>
    <row r="15" spans="1:22" s="442" customFormat="1" ht="12" customHeight="1">
      <c r="B15" s="443" t="s">
        <v>251</v>
      </c>
      <c r="D15" s="444" t="s">
        <v>252</v>
      </c>
      <c r="E15" s="445">
        <f>IFERROR(+E14/D14-1,0)</f>
        <v>-7.6280986656897198E-2</v>
      </c>
      <c r="F15" s="445">
        <f>IFERROR(+F14/E14-1,0)</f>
        <v>0.13121403824432298</v>
      </c>
      <c r="G15" s="445">
        <f>IFERROR(+G14/F14-1,0)</f>
        <v>5.1927569306471799E-2</v>
      </c>
      <c r="H15" s="446"/>
      <c r="I15" s="446"/>
      <c r="J15" s="447"/>
      <c r="K15" s="446"/>
      <c r="L15" s="448">
        <f>IFERROR(+L14/G14-1,0)</f>
        <v>0.13956719433482312</v>
      </c>
      <c r="M15" s="446">
        <f>M14/H14-1</f>
        <v>0.12675556909174523</v>
      </c>
      <c r="N15" s="457">
        <f>N14/I14-1</f>
        <v>5.4696232048526028E-2</v>
      </c>
      <c r="O15" s="457">
        <f>O14/J14-1</f>
        <v>4.5936412733883936E-2</v>
      </c>
      <c r="P15" s="457">
        <f>P14/K14-1</f>
        <v>0.22072136824209165</v>
      </c>
      <c r="Q15" s="449">
        <f>'Top Customer Data'!I56</f>
        <v>0.11250808704315673</v>
      </c>
      <c r="R15" s="450">
        <f>IF(GrowthCase="Recession",0.5%,'Revenue Build'!J77)</f>
        <v>0.10327083146679784</v>
      </c>
      <c r="S15" s="450">
        <f>IF(GrowthCase="Recession",0.5%,'Revenue Build'!K77)</f>
        <v>9.5018616319830773E-2</v>
      </c>
      <c r="T15" s="450">
        <f>IF(GrowthCase="Recession",0.5%,'Revenue Build'!L77)</f>
        <v>8.6649882005637391E-2</v>
      </c>
      <c r="U15" s="450">
        <f>IF(GrowthCase="Recession",0.5%,'Revenue Build'!M77)</f>
        <v>8.8227865227726368E-2</v>
      </c>
      <c r="V15" s="450">
        <f>IF(GrowthCase="Recession",0.5%,'Revenue Build'!N77)</f>
        <v>8.9579755847405643E-2</v>
      </c>
    </row>
    <row r="16" spans="1:22" ht="3" customHeight="1">
      <c r="B16" s="458"/>
      <c r="C16" s="398"/>
      <c r="E16" s="459"/>
      <c r="F16" s="460"/>
      <c r="G16" s="460"/>
      <c r="H16" s="446"/>
      <c r="I16" s="446"/>
      <c r="J16" s="447"/>
      <c r="K16" s="446"/>
      <c r="L16" s="461"/>
      <c r="M16" s="446"/>
      <c r="N16" s="446"/>
      <c r="O16" s="446"/>
      <c r="P16" s="446"/>
      <c r="Q16" s="461"/>
      <c r="R16" s="442"/>
      <c r="S16" s="442"/>
      <c r="T16" s="442"/>
      <c r="U16" s="442"/>
      <c r="V16" s="442"/>
    </row>
    <row r="17" spans="1:24" ht="12" customHeight="1">
      <c r="B17" s="433" t="s">
        <v>254</v>
      </c>
      <c r="C17" s="398"/>
      <c r="D17" s="434">
        <v>152.63323968</v>
      </c>
      <c r="E17" s="434">
        <v>196.02662136999999</v>
      </c>
      <c r="F17" s="434">
        <v>299.11453921999998</v>
      </c>
      <c r="G17" s="434">
        <v>339.43979614999989</v>
      </c>
      <c r="H17" s="435">
        <v>84.723232129999985</v>
      </c>
      <c r="I17" s="435">
        <v>88.954096550000003</v>
      </c>
      <c r="J17" s="436">
        <v>85.144657340000009</v>
      </c>
      <c r="K17" s="435">
        <v>81.836048400428524</v>
      </c>
      <c r="L17" s="437">
        <v>340.65803442042852</v>
      </c>
      <c r="M17" s="438">
        <f>Q17*$D$74</f>
        <v>80.341593072993803</v>
      </c>
      <c r="N17" s="438">
        <f>Q17*$E$74</f>
        <v>82.869379083262857</v>
      </c>
      <c r="O17" s="438">
        <f>Q17*$F$74</f>
        <v>85.447115376705568</v>
      </c>
      <c r="P17" s="438">
        <f>Q17*$G$74</f>
        <v>101.13165427371352</v>
      </c>
      <c r="Q17" s="439">
        <f>L17*(1+Q18)</f>
        <v>349.78974180667569</v>
      </c>
      <c r="R17" s="440">
        <f>Q17*(1+R18)</f>
        <v>369.72300018635116</v>
      </c>
      <c r="S17" s="441">
        <f>R17*(1+S18)</f>
        <v>398.53210712952324</v>
      </c>
      <c r="T17" s="441">
        <f>S17*(1+T18)</f>
        <v>445.85528990133309</v>
      </c>
      <c r="U17" s="441">
        <f>T17*(1+U18)</f>
        <v>507.97846511332608</v>
      </c>
      <c r="V17" s="441">
        <f>U17*(1+V18)</f>
        <v>578.95924980549205</v>
      </c>
    </row>
    <row r="18" spans="1:24" ht="12" customHeight="1">
      <c r="B18" s="443" t="s">
        <v>251</v>
      </c>
      <c r="C18" s="398"/>
      <c r="D18" s="444" t="s">
        <v>252</v>
      </c>
      <c r="E18" s="445">
        <f>IFERROR(+E17/D17-1,0)</f>
        <v>0.28429837289030524</v>
      </c>
      <c r="F18" s="445">
        <f>IFERROR(+F17/E17-1,0)</f>
        <v>0.5258873367787209</v>
      </c>
      <c r="G18" s="445">
        <f>IFERROR(+G17/F17-1,0)</f>
        <v>0.1348154357028446</v>
      </c>
      <c r="H18" s="446"/>
      <c r="I18" s="446"/>
      <c r="J18" s="447"/>
      <c r="K18" s="446"/>
      <c r="L18" s="448">
        <f>IFERROR(+L17/G17-1,0)</f>
        <v>3.5889671283277913E-3</v>
      </c>
      <c r="M18" s="446">
        <f>M17/H17-1</f>
        <v>-5.1717090423119894E-2</v>
      </c>
      <c r="N18" s="446">
        <f>N17/I17-1</f>
        <v>-6.8402892083974987E-2</v>
      </c>
      <c r="O18" s="446">
        <f>O17/J17-1</f>
        <v>3.5522843846536034E-3</v>
      </c>
      <c r="P18" s="446">
        <f>P17/K17-1</f>
        <v>0.23578369496619001</v>
      </c>
      <c r="Q18" s="449">
        <f>'Top Customer Data'!I81</f>
        <v>2.6806082533127995E-2</v>
      </c>
      <c r="R18" s="462">
        <f>IF(GrowthCase="Recession",0.5%,'Revenue Build'!J92)</f>
        <v>5.6986400678074534E-2</v>
      </c>
      <c r="S18" s="462">
        <f>IF(GrowthCase="Recession",0.5%,'Revenue Build'!K92)</f>
        <v>7.7920786449994797E-2</v>
      </c>
      <c r="T18" s="462">
        <f>IF(GrowthCase="Recession",0.5%,'Revenue Build'!L92)</f>
        <v>0.11874371455956453</v>
      </c>
      <c r="U18" s="462">
        <f>IF(GrowthCase="Recession",0.5%,'Revenue Build'!M92)</f>
        <v>0.13933483939540292</v>
      </c>
      <c r="V18" s="462">
        <f>IF(GrowthCase="Recession",0.5%,'Revenue Build'!N92)</f>
        <v>0.13973187756361036</v>
      </c>
      <c r="X18" s="442"/>
    </row>
    <row r="19" spans="1:24" ht="3" customHeight="1">
      <c r="B19" s="451"/>
      <c r="C19" s="398"/>
      <c r="D19" s="452"/>
      <c r="E19" s="452"/>
      <c r="F19" s="452"/>
      <c r="G19" s="453"/>
      <c r="H19" s="454"/>
      <c r="I19" s="454"/>
      <c r="J19" s="455"/>
      <c r="K19" s="454"/>
      <c r="L19" s="456"/>
      <c r="M19" s="463"/>
      <c r="N19" s="463"/>
      <c r="O19" s="463"/>
      <c r="P19" s="463"/>
      <c r="Q19" s="449"/>
      <c r="R19" s="442"/>
      <c r="S19" s="442"/>
      <c r="T19" s="442"/>
      <c r="U19" s="442"/>
      <c r="V19" s="442"/>
    </row>
    <row r="20" spans="1:24" ht="12" customHeight="1">
      <c r="B20" s="433" t="s">
        <v>255</v>
      </c>
      <c r="C20" s="398"/>
      <c r="D20" s="434">
        <v>100.7915224300003</v>
      </c>
      <c r="E20" s="434">
        <v>114.6872870400001</v>
      </c>
      <c r="F20" s="434">
        <v>121.81334399000001</v>
      </c>
      <c r="G20" s="434">
        <v>133.65576365999999</v>
      </c>
      <c r="H20" s="435">
        <v>35.557871329999998</v>
      </c>
      <c r="I20" s="435">
        <v>34.269577230000003</v>
      </c>
      <c r="J20" s="436">
        <v>36.824527979999999</v>
      </c>
      <c r="K20" s="435">
        <v>38.681065797843971</v>
      </c>
      <c r="L20" s="437">
        <v>145.33304233784401</v>
      </c>
      <c r="M20" s="438">
        <f>Q20*$D$74</f>
        <v>35.332620029529011</v>
      </c>
      <c r="N20" s="438">
        <f>Q20*$E$74</f>
        <v>36.444289579517275</v>
      </c>
      <c r="O20" s="438">
        <f>Q20*$F$74</f>
        <v>37.577926261450997</v>
      </c>
      <c r="P20" s="438">
        <f>Q20*$G$74</f>
        <v>44.475671650727229</v>
      </c>
      <c r="Q20" s="439">
        <f>L20*(1+Q21)</f>
        <v>153.83050752122449</v>
      </c>
      <c r="R20" s="440">
        <f>Q20*(1+R21)</f>
        <v>158.83775490505263</v>
      </c>
      <c r="S20" s="441">
        <f>R20*(1+S21)</f>
        <v>164.37539674970529</v>
      </c>
      <c r="T20" s="441">
        <f>S20*(1+T21)</f>
        <v>170.48251019177914</v>
      </c>
      <c r="U20" s="441">
        <f>T20*(1+U21)</f>
        <v>177.20055782098649</v>
      </c>
      <c r="V20" s="441">
        <f>U20*(1+V21)</f>
        <v>184.57352158936351</v>
      </c>
    </row>
    <row r="21" spans="1:24" ht="12" customHeight="1">
      <c r="A21" s="442"/>
      <c r="B21" s="443" t="s">
        <v>251</v>
      </c>
      <c r="C21" s="442"/>
      <c r="D21" s="444" t="s">
        <v>252</v>
      </c>
      <c r="E21" s="445">
        <f>IFERROR(+E20/D20-1,0)</f>
        <v>0.13786640259998473</v>
      </c>
      <c r="F21" s="445">
        <f>IFERROR(+F20/E20-1,0)</f>
        <v>6.2134671888389059E-2</v>
      </c>
      <c r="G21" s="445">
        <f>IFERROR(+G20/F20-1,0)</f>
        <v>9.7217753672144136E-2</v>
      </c>
      <c r="H21" s="446"/>
      <c r="I21" s="446"/>
      <c r="J21" s="447"/>
      <c r="K21" s="446"/>
      <c r="L21" s="448">
        <f>IFERROR(+L20/G20-1,0)</f>
        <v>8.7368313629550887E-2</v>
      </c>
      <c r="M21" s="446">
        <f>M20/H20-1</f>
        <v>-6.3347802341852111E-3</v>
      </c>
      <c r="N21" s="446">
        <f>N20/I20-1</f>
        <v>6.3458978058635207E-2</v>
      </c>
      <c r="O21" s="446">
        <f>O20/J20-1</f>
        <v>2.045914293484441E-2</v>
      </c>
      <c r="P21" s="446">
        <f>P20/K20-1</f>
        <v>0.14980471022094344</v>
      </c>
      <c r="Q21" s="449">
        <f>'Top Customer Data'!I106</f>
        <v>5.8468914203468669E-2</v>
      </c>
      <c r="R21" s="462">
        <f>IF(GrowthCase="Recession",0.5%,'Revenue Build'!J113)</f>
        <v>3.25504184086325E-2</v>
      </c>
      <c r="S21" s="462">
        <f>IF(GrowthCase="Recession",0.5%,'Revenue Build'!K113)</f>
        <v>3.4863511184496793E-2</v>
      </c>
      <c r="T21" s="462">
        <f>IF(GrowthCase="Recession",0.5%,'Revenue Build'!L113)</f>
        <v>3.7153452176137781E-2</v>
      </c>
      <c r="U21" s="462">
        <f>IF(GrowthCase="Recession",0.5%,'Revenue Build'!M113)</f>
        <v>3.9406081137883853E-2</v>
      </c>
      <c r="V21" s="462">
        <f>IF(GrowthCase="Recession",0.5%,'Revenue Build'!N113)</f>
        <v>4.160801669611798E-2</v>
      </c>
      <c r="X21" s="442"/>
    </row>
    <row r="22" spans="1:24" ht="3" customHeight="1">
      <c r="A22" s="464"/>
      <c r="B22" s="465"/>
      <c r="C22" s="466"/>
      <c r="D22" s="444"/>
      <c r="E22" s="445"/>
      <c r="F22" s="460"/>
      <c r="G22" s="460"/>
      <c r="H22" s="446"/>
      <c r="I22" s="446"/>
      <c r="J22" s="447"/>
      <c r="K22" s="446"/>
      <c r="L22" s="461"/>
      <c r="M22" s="446"/>
      <c r="N22" s="446"/>
      <c r="O22" s="446"/>
      <c r="P22" s="446"/>
      <c r="Q22" s="461"/>
      <c r="R22" s="464"/>
      <c r="S22" s="464"/>
    </row>
    <row r="23" spans="1:24" ht="12" customHeight="1">
      <c r="B23" s="467" t="s">
        <v>256</v>
      </c>
      <c r="C23" s="467"/>
      <c r="D23" s="468">
        <f t="shared" ref="D23:V23" si="0">SUM(D20,D17,D14,D11)</f>
        <v>892.49761679000039</v>
      </c>
      <c r="E23" s="468">
        <f t="shared" si="0"/>
        <v>905.46788330000004</v>
      </c>
      <c r="F23" s="468">
        <f t="shared" si="0"/>
        <v>1126.15245979</v>
      </c>
      <c r="G23" s="468">
        <f t="shared" si="0"/>
        <v>1215.0215934299999</v>
      </c>
      <c r="H23" s="468">
        <f t="shared" si="0"/>
        <v>283.57475151</v>
      </c>
      <c r="I23" s="468">
        <f t="shared" si="0"/>
        <v>326.19551497999998</v>
      </c>
      <c r="J23" s="469">
        <f t="shared" si="0"/>
        <v>286.23798310999996</v>
      </c>
      <c r="K23" s="468">
        <f t="shared" si="0"/>
        <v>347.69130684254412</v>
      </c>
      <c r="L23" s="470">
        <f t="shared" si="0"/>
        <v>1243.6995564425438</v>
      </c>
      <c r="M23" s="468">
        <f t="shared" si="0"/>
        <v>295.91933958070183</v>
      </c>
      <c r="N23" s="468">
        <f t="shared" si="0"/>
        <v>305.22984411700781</v>
      </c>
      <c r="O23" s="468">
        <f t="shared" si="0"/>
        <v>314.72432875929928</v>
      </c>
      <c r="P23" s="468">
        <f t="shared" si="0"/>
        <v>372.49463445654317</v>
      </c>
      <c r="Q23" s="470">
        <f t="shared" si="0"/>
        <v>1288.3681469135522</v>
      </c>
      <c r="R23" s="468">
        <f t="shared" si="0"/>
        <v>1349.2523995347933</v>
      </c>
      <c r="S23" s="471">
        <f t="shared" si="0"/>
        <v>1420.6577584563884</v>
      </c>
      <c r="T23" s="471">
        <f t="shared" si="0"/>
        <v>1512.1048583500235</v>
      </c>
      <c r="U23" s="471">
        <f t="shared" si="0"/>
        <v>1621.2493343941305</v>
      </c>
      <c r="V23" s="471">
        <f t="shared" si="0"/>
        <v>1742.3495221416215</v>
      </c>
    </row>
    <row r="24" spans="1:24" ht="12" customHeight="1">
      <c r="A24" s="464"/>
      <c r="B24" s="472" t="s">
        <v>251</v>
      </c>
      <c r="C24" s="466"/>
      <c r="D24" s="444" t="s">
        <v>252</v>
      </c>
      <c r="E24" s="473">
        <f>+E23/D23-1</f>
        <v>1.4532550301533664E-2</v>
      </c>
      <c r="F24" s="473">
        <f>+F23/E23-1</f>
        <v>0.24372435572834394</v>
      </c>
      <c r="G24" s="473">
        <f>+G23/F23-1</f>
        <v>7.89139453254597E-2</v>
      </c>
      <c r="H24" s="446"/>
      <c r="I24" s="446"/>
      <c r="J24" s="447"/>
      <c r="K24" s="446"/>
      <c r="L24" s="474">
        <f>+L23/G23-1</f>
        <v>2.3602842260264767E-2</v>
      </c>
      <c r="M24" s="446">
        <f>M23/H23-1</f>
        <v>4.3532042274456506E-2</v>
      </c>
      <c r="N24" s="446">
        <f>N23/I23-1</f>
        <v>-6.4273326579237677E-2</v>
      </c>
      <c r="O24" s="446">
        <f>O23/J23-1</f>
        <v>9.9519795869831063E-2</v>
      </c>
      <c r="P24" s="446">
        <f>P23/K23-1</f>
        <v>7.1337209547293945E-2</v>
      </c>
      <c r="Q24" s="474">
        <f>+Q23/L23-1</f>
        <v>3.5915901263788852E-2</v>
      </c>
      <c r="R24" s="473">
        <f>R23/Q23-1</f>
        <v>4.7256875115313068E-2</v>
      </c>
      <c r="S24" s="475">
        <f>S23/R23-1</f>
        <v>5.292216559793772E-2</v>
      </c>
      <c r="T24" s="475">
        <f>T23/S23-1</f>
        <v>6.4369549491636091E-2</v>
      </c>
      <c r="U24" s="475">
        <f>U23/T23-1</f>
        <v>7.2180494256994354E-2</v>
      </c>
      <c r="V24" s="475">
        <f>V23/U23-1</f>
        <v>7.4695597511376555E-2</v>
      </c>
    </row>
    <row r="25" spans="1:24" ht="3" customHeight="1">
      <c r="A25" s="464"/>
      <c r="B25" s="465"/>
      <c r="C25" s="466"/>
      <c r="D25" s="444"/>
      <c r="E25" s="445"/>
      <c r="F25" s="460"/>
      <c r="G25" s="460"/>
      <c r="H25" s="446"/>
      <c r="I25" s="446"/>
      <c r="J25" s="447"/>
      <c r="K25" s="446"/>
      <c r="L25" s="461"/>
      <c r="M25" s="446"/>
      <c r="N25" s="446"/>
      <c r="O25" s="446"/>
      <c r="P25" s="446"/>
      <c r="Q25" s="461"/>
      <c r="R25" s="464"/>
      <c r="S25" s="464"/>
    </row>
    <row r="26" spans="1:24" ht="12" customHeight="1">
      <c r="B26" s="433" t="s">
        <v>257</v>
      </c>
      <c r="C26" s="476">
        <v>1</v>
      </c>
      <c r="D26" s="477"/>
      <c r="E26" s="477"/>
      <c r="F26" s="477"/>
      <c r="G26" s="477"/>
      <c r="H26" s="446"/>
      <c r="I26" s="446"/>
      <c r="J26" s="447"/>
      <c r="K26" s="446"/>
      <c r="L26" s="478"/>
      <c r="M26" s="446"/>
      <c r="N26" s="446"/>
      <c r="O26" s="446"/>
      <c r="P26" s="446"/>
      <c r="Q26" s="479"/>
      <c r="R26" s="480"/>
      <c r="S26" s="481"/>
      <c r="T26" s="481"/>
      <c r="U26" s="481"/>
      <c r="V26" s="481"/>
    </row>
    <row r="27" spans="1:24" ht="4" customHeight="1">
      <c r="A27" s="464"/>
      <c r="B27" s="465"/>
      <c r="C27" s="466"/>
      <c r="D27" s="444"/>
      <c r="E27" s="445"/>
      <c r="F27" s="460"/>
      <c r="G27" s="460"/>
      <c r="H27" s="446"/>
      <c r="I27" s="446"/>
      <c r="J27" s="447"/>
      <c r="K27" s="446"/>
      <c r="L27" s="461"/>
      <c r="M27" s="446"/>
      <c r="N27" s="446"/>
      <c r="O27" s="446"/>
      <c r="P27" s="446"/>
      <c r="Q27" s="461"/>
      <c r="R27" s="460"/>
      <c r="S27" s="482"/>
      <c r="T27" s="482"/>
      <c r="U27" s="482"/>
      <c r="V27" s="482"/>
    </row>
    <row r="28" spans="1:24" ht="12" customHeight="1">
      <c r="B28" s="467" t="s">
        <v>258</v>
      </c>
      <c r="C28" s="467"/>
      <c r="D28" s="468">
        <f t="shared" ref="D28:V28" si="1">SUM(D20,D17,D14,D11,D26)</f>
        <v>892.49761679000039</v>
      </c>
      <c r="E28" s="468">
        <f t="shared" si="1"/>
        <v>905.46788330000004</v>
      </c>
      <c r="F28" s="468">
        <f t="shared" si="1"/>
        <v>1126.15245979</v>
      </c>
      <c r="G28" s="468">
        <f t="shared" si="1"/>
        <v>1215.0215934299999</v>
      </c>
      <c r="H28" s="468">
        <f t="shared" si="1"/>
        <v>283.57475151</v>
      </c>
      <c r="I28" s="468">
        <f t="shared" si="1"/>
        <v>326.19551497999998</v>
      </c>
      <c r="J28" s="469">
        <f t="shared" si="1"/>
        <v>286.23798310999996</v>
      </c>
      <c r="K28" s="468">
        <f t="shared" si="1"/>
        <v>347.69130684254412</v>
      </c>
      <c r="L28" s="470">
        <f t="shared" si="1"/>
        <v>1243.6995564425438</v>
      </c>
      <c r="M28" s="468">
        <f t="shared" si="1"/>
        <v>295.91933958070183</v>
      </c>
      <c r="N28" s="468">
        <f t="shared" si="1"/>
        <v>305.22984411700781</v>
      </c>
      <c r="O28" s="468">
        <f t="shared" si="1"/>
        <v>314.72432875929928</v>
      </c>
      <c r="P28" s="468">
        <f t="shared" si="1"/>
        <v>372.49463445654317</v>
      </c>
      <c r="Q28" s="470">
        <f t="shared" si="1"/>
        <v>1288.3681469135522</v>
      </c>
      <c r="R28" s="468">
        <f t="shared" si="1"/>
        <v>1349.2523995347933</v>
      </c>
      <c r="S28" s="471">
        <f t="shared" si="1"/>
        <v>1420.6577584563884</v>
      </c>
      <c r="T28" s="471">
        <f t="shared" si="1"/>
        <v>1512.1048583500235</v>
      </c>
      <c r="U28" s="471">
        <f t="shared" si="1"/>
        <v>1621.2493343941305</v>
      </c>
      <c r="V28" s="471">
        <f t="shared" si="1"/>
        <v>1742.3495221416215</v>
      </c>
    </row>
    <row r="29" spans="1:24" ht="12" customHeight="1">
      <c r="A29" s="464"/>
      <c r="B29" s="472" t="s">
        <v>251</v>
      </c>
      <c r="C29" s="466"/>
      <c r="D29" s="444" t="s">
        <v>252</v>
      </c>
      <c r="E29" s="473">
        <f>+E28/D28-1</f>
        <v>1.4532550301533664E-2</v>
      </c>
      <c r="F29" s="473">
        <f>+F28/E28-1</f>
        <v>0.24372435572834394</v>
      </c>
      <c r="G29" s="473">
        <f>+G28/F28-1</f>
        <v>7.89139453254597E-2</v>
      </c>
      <c r="H29" s="446"/>
      <c r="I29" s="446"/>
      <c r="J29" s="447"/>
      <c r="K29" s="446"/>
      <c r="L29" s="474">
        <f>+L28/G28-1</f>
        <v>2.3602842260264767E-2</v>
      </c>
      <c r="M29" s="446">
        <f>M28/H28-1</f>
        <v>4.3532042274456506E-2</v>
      </c>
      <c r="N29" s="446">
        <f>N28/I28-1</f>
        <v>-6.4273326579237677E-2</v>
      </c>
      <c r="O29" s="446">
        <f>O28/J28-1</f>
        <v>9.9519795869831063E-2</v>
      </c>
      <c r="P29" s="446">
        <f>P28/K28-1</f>
        <v>7.1337209547293945E-2</v>
      </c>
      <c r="Q29" s="474">
        <f>+Q28/L28-1</f>
        <v>3.5915901263788852E-2</v>
      </c>
      <c r="R29" s="473">
        <f>+R28/Q28-1</f>
        <v>4.7256875115313068E-2</v>
      </c>
      <c r="S29" s="475">
        <f>+S28/R28-1</f>
        <v>5.292216559793772E-2</v>
      </c>
      <c r="T29" s="475">
        <f>+T28/S28-1</f>
        <v>6.4369549491636091E-2</v>
      </c>
      <c r="U29" s="475">
        <f>+U28/T28-1</f>
        <v>7.2180494256994354E-2</v>
      </c>
      <c r="V29" s="475">
        <f>+V28/U28-1</f>
        <v>7.4695597511376555E-2</v>
      </c>
    </row>
    <row r="30" spans="1:24" ht="3" customHeight="1">
      <c r="A30" s="464"/>
      <c r="B30" s="465"/>
      <c r="C30" s="466"/>
      <c r="D30" s="444"/>
      <c r="E30" s="445"/>
      <c r="F30" s="460"/>
      <c r="G30" s="460"/>
      <c r="H30" s="446"/>
      <c r="I30" s="446"/>
      <c r="J30" s="447"/>
      <c r="K30" s="446"/>
      <c r="L30" s="461"/>
      <c r="M30" s="446"/>
      <c r="N30" s="446"/>
      <c r="O30" s="446"/>
      <c r="P30" s="446"/>
      <c r="Q30" s="461"/>
      <c r="R30" s="460"/>
      <c r="S30" s="482"/>
      <c r="T30" s="482"/>
      <c r="U30" s="482"/>
      <c r="V30" s="482"/>
    </row>
    <row r="31" spans="1:24" s="488" customFormat="1" ht="12" customHeight="1">
      <c r="A31" s="464"/>
      <c r="B31" s="472" t="s">
        <v>259</v>
      </c>
      <c r="C31" s="466"/>
      <c r="D31" s="483">
        <f t="shared" ref="D31:V31" si="2">D23-D45</f>
        <v>720.80984098363376</v>
      </c>
      <c r="E31" s="483">
        <f t="shared" si="2"/>
        <v>726.01930711327395</v>
      </c>
      <c r="F31" s="483">
        <f t="shared" si="2"/>
        <v>915.37286985579146</v>
      </c>
      <c r="G31" s="483">
        <f t="shared" si="2"/>
        <v>982.01218316789186</v>
      </c>
      <c r="H31" s="484">
        <f t="shared" si="2"/>
        <v>228.26863768658669</v>
      </c>
      <c r="I31" s="484">
        <f t="shared" si="2"/>
        <v>261.74570427006802</v>
      </c>
      <c r="J31" s="485">
        <f t="shared" si="2"/>
        <v>230.92555995891814</v>
      </c>
      <c r="K31" s="484">
        <f t="shared" si="2"/>
        <v>280.4872480889112</v>
      </c>
      <c r="L31" s="486">
        <f t="shared" si="2"/>
        <v>1001.4266758054605</v>
      </c>
      <c r="M31" s="484">
        <f t="shared" si="2"/>
        <v>236.89226238663568</v>
      </c>
      <c r="N31" s="484">
        <f t="shared" si="2"/>
        <v>244.34559911917816</v>
      </c>
      <c r="O31" s="484">
        <f t="shared" si="2"/>
        <v>251.9462174170377</v>
      </c>
      <c r="P31" s="484">
        <f t="shared" si="2"/>
        <v>298.19307115352842</v>
      </c>
      <c r="Q31" s="486">
        <f t="shared" si="2"/>
        <v>1031.3771500763801</v>
      </c>
      <c r="R31" s="483">
        <f t="shared" si="2"/>
        <v>1079.0707750282991</v>
      </c>
      <c r="S31" s="487">
        <f t="shared" si="2"/>
        <v>1135.9490239757458</v>
      </c>
      <c r="T31" s="487">
        <f t="shared" si="2"/>
        <v>1209.2733551084204</v>
      </c>
      <c r="U31" s="487">
        <f t="shared" si="2"/>
        <v>1296.9674371031958</v>
      </c>
      <c r="V31" s="487">
        <f t="shared" si="2"/>
        <v>1394.2823295090075</v>
      </c>
    </row>
    <row r="32" spans="1:24" ht="3" customHeight="1">
      <c r="B32" s="464"/>
      <c r="C32" s="398"/>
      <c r="D32" s="397"/>
      <c r="E32" s="397"/>
      <c r="F32" s="397"/>
      <c r="G32" s="397"/>
      <c r="H32" s="489"/>
      <c r="I32" s="489"/>
      <c r="J32" s="490"/>
      <c r="K32" s="489"/>
      <c r="L32" s="491"/>
      <c r="M32" s="489"/>
      <c r="N32" s="489"/>
      <c r="O32" s="489"/>
      <c r="P32" s="489"/>
      <c r="Q32" s="491"/>
      <c r="R32" s="397"/>
      <c r="S32" s="492"/>
      <c r="T32" s="492"/>
      <c r="U32" s="492"/>
      <c r="V32" s="492"/>
    </row>
    <row r="33" spans="1:24" ht="12" customHeight="1">
      <c r="B33" s="433" t="str">
        <f>B11&amp;" Gross Profit"</f>
        <v>Infrastructure Gross Profit</v>
      </c>
      <c r="C33" s="466"/>
      <c r="D33" s="434">
        <v>99.677349079999942</v>
      </c>
      <c r="E33" s="434">
        <v>93.404026669999965</v>
      </c>
      <c r="F33" s="434">
        <v>108.73485572999989</v>
      </c>
      <c r="G33" s="434">
        <v>117.0270369699999</v>
      </c>
      <c r="H33" s="435">
        <v>25.77538466</v>
      </c>
      <c r="I33" s="435">
        <v>30.98943879000004</v>
      </c>
      <c r="J33" s="436">
        <v>22.664983709999991</v>
      </c>
      <c r="K33" s="435">
        <v>33.734926412513317</v>
      </c>
      <c r="L33" s="437">
        <v>113.16480331087649</v>
      </c>
      <c r="M33" s="438">
        <f t="shared" ref="M33:V33" si="3">M34*M11</f>
        <v>26.819423164797328</v>
      </c>
      <c r="N33" s="438">
        <f t="shared" si="3"/>
        <v>27.663242164227263</v>
      </c>
      <c r="O33" s="438">
        <f t="shared" si="3"/>
        <v>28.523735438219049</v>
      </c>
      <c r="P33" s="438">
        <f t="shared" si="3"/>
        <v>33.75950771673736</v>
      </c>
      <c r="Q33" s="439">
        <f t="shared" si="3"/>
        <v>116.76590848398099</v>
      </c>
      <c r="R33" s="440">
        <f t="shared" si="3"/>
        <v>121.59395155395136</v>
      </c>
      <c r="S33" s="441">
        <f t="shared" si="3"/>
        <v>125.98622507283311</v>
      </c>
      <c r="T33" s="441">
        <f t="shared" si="3"/>
        <v>130.54916454253839</v>
      </c>
      <c r="U33" s="441">
        <f t="shared" si="3"/>
        <v>135.28977527191611</v>
      </c>
      <c r="V33" s="441">
        <f t="shared" si="3"/>
        <v>140.2153609422399</v>
      </c>
    </row>
    <row r="34" spans="1:24" ht="12" customHeight="1">
      <c r="B34" s="493" t="s">
        <v>260</v>
      </c>
      <c r="C34" s="466"/>
      <c r="D34" s="473">
        <f t="shared" ref="D34:L34" si="4">D33/D11</f>
        <v>0.17888870478619526</v>
      </c>
      <c r="E34" s="473">
        <f t="shared" si="4"/>
        <v>0.17992437409979747</v>
      </c>
      <c r="F34" s="473">
        <f t="shared" si="4"/>
        <v>0.17547022521784467</v>
      </c>
      <c r="G34" s="473">
        <f t="shared" si="4"/>
        <v>0.17950690303383707</v>
      </c>
      <c r="H34" s="494">
        <f t="shared" si="4"/>
        <v>0.18406078134241502</v>
      </c>
      <c r="I34" s="494">
        <f t="shared" si="4"/>
        <v>0.17474106027065037</v>
      </c>
      <c r="J34" s="495">
        <f t="shared" si="4"/>
        <v>0.16468842369711001</v>
      </c>
      <c r="K34" s="494">
        <f t="shared" si="4"/>
        <v>0.16854547710735632</v>
      </c>
      <c r="L34" s="474">
        <f t="shared" si="4"/>
        <v>0.17272877675369636</v>
      </c>
      <c r="M34" s="496">
        <f>Q34</f>
        <v>0.17410578314805913</v>
      </c>
      <c r="N34" s="496">
        <f>Q34</f>
        <v>0.17410578314805913</v>
      </c>
      <c r="O34" s="496">
        <f>Q34</f>
        <v>0.17410578314805913</v>
      </c>
      <c r="P34" s="496">
        <f>Q34</f>
        <v>0.17410578314805913</v>
      </c>
      <c r="Q34" s="449">
        <f>'Top Customer Data'!W30</f>
        <v>0.17410578314805913</v>
      </c>
      <c r="R34" s="497">
        <v>0.17499999999999999</v>
      </c>
      <c r="S34" s="497">
        <f>R34</f>
        <v>0.17499999999999999</v>
      </c>
      <c r="T34" s="497">
        <f>S34</f>
        <v>0.17499999999999999</v>
      </c>
      <c r="U34" s="497">
        <f>T34</f>
        <v>0.17499999999999999</v>
      </c>
      <c r="V34" s="497">
        <f>U34</f>
        <v>0.17499999999999999</v>
      </c>
      <c r="X34" s="498"/>
    </row>
    <row r="35" spans="1:24" ht="3" customHeight="1">
      <c r="B35" s="465"/>
      <c r="C35" s="466"/>
      <c r="D35" s="473"/>
      <c r="E35" s="473"/>
      <c r="F35" s="499"/>
      <c r="G35" s="499"/>
      <c r="H35" s="454"/>
      <c r="I35" s="454"/>
      <c r="J35" s="455"/>
      <c r="K35" s="454"/>
      <c r="L35" s="500"/>
      <c r="M35" s="501"/>
      <c r="N35" s="501"/>
      <c r="O35" s="501"/>
      <c r="P35" s="501"/>
      <c r="Q35" s="500"/>
      <c r="R35" s="499"/>
      <c r="S35" s="502"/>
      <c r="T35" s="502"/>
      <c r="U35" s="502"/>
      <c r="V35" s="502"/>
    </row>
    <row r="36" spans="1:24" ht="12" customHeight="1">
      <c r="B36" s="433" t="str">
        <f>B14&amp;" Gross Profit"</f>
        <v>Cloud Gross Profit</v>
      </c>
      <c r="C36" s="466"/>
      <c r="D36" s="434">
        <v>20.758923819999989</v>
      </c>
      <c r="E36" s="434">
        <v>21.237845369999999</v>
      </c>
      <c r="F36" s="434">
        <v>27.480422220000001</v>
      </c>
      <c r="G36" s="434">
        <v>26.24655976</v>
      </c>
      <c r="H36" s="435">
        <v>6.4647797999999987</v>
      </c>
      <c r="I36" s="435">
        <v>7.5819123999999984</v>
      </c>
      <c r="J36" s="436">
        <v>7.0411577799999989</v>
      </c>
      <c r="K36" s="435">
        <v>7.2790345808337156</v>
      </c>
      <c r="L36" s="437">
        <v>28.36719102264901</v>
      </c>
      <c r="M36" s="438">
        <f t="shared" ref="M36:V36" si="5">M37*M14</f>
        <v>7.449580766984603</v>
      </c>
      <c r="N36" s="438">
        <f t="shared" si="5"/>
        <v>7.6839667845489341</v>
      </c>
      <c r="O36" s="438">
        <f t="shared" si="5"/>
        <v>7.92298438402001</v>
      </c>
      <c r="P36" s="438">
        <f t="shared" si="5"/>
        <v>9.3773150095033149</v>
      </c>
      <c r="Q36" s="439">
        <f t="shared" si="5"/>
        <v>32.433846945056857</v>
      </c>
      <c r="R36" s="440">
        <f t="shared" si="5"/>
        <v>35.783317286739745</v>
      </c>
      <c r="S36" s="441">
        <f t="shared" si="5"/>
        <v>39.183398582659237</v>
      </c>
      <c r="T36" s="441">
        <f t="shared" si="5"/>
        <v>42.578635446426524</v>
      </c>
      <c r="U36" s="441">
        <f t="shared" si="5"/>
        <v>46.335257556174334</v>
      </c>
      <c r="V36" s="441">
        <f t="shared" si="5"/>
        <v>50.485958615183087</v>
      </c>
    </row>
    <row r="37" spans="1:24" ht="12" customHeight="1">
      <c r="B37" s="493" t="s">
        <v>260</v>
      </c>
      <c r="C37" s="466"/>
      <c r="D37" s="473">
        <f t="shared" ref="D37:L37" si="6">D36/D14</f>
        <v>0.25356049434505401</v>
      </c>
      <c r="E37" s="473">
        <f t="shared" si="6"/>
        <v>0.28083247411718298</v>
      </c>
      <c r="F37" s="473">
        <f t="shared" si="6"/>
        <v>0.32122954808304965</v>
      </c>
      <c r="G37" s="473">
        <f t="shared" si="6"/>
        <v>0.29166118434287491</v>
      </c>
      <c r="H37" s="494">
        <f t="shared" si="6"/>
        <v>0.27797978401785628</v>
      </c>
      <c r="I37" s="494">
        <f t="shared" si="6"/>
        <v>0.29585728949683404</v>
      </c>
      <c r="J37" s="495">
        <f t="shared" si="6"/>
        <v>0.26425435600596481</v>
      </c>
      <c r="K37" s="494">
        <f t="shared" si="6"/>
        <v>0.26938500662088782</v>
      </c>
      <c r="L37" s="474">
        <f t="shared" si="6"/>
        <v>0.27661940513994365</v>
      </c>
      <c r="M37" s="496">
        <f>Q37</f>
        <v>0.28429000829253237</v>
      </c>
      <c r="N37" s="496">
        <f>Q37</f>
        <v>0.28429000829253237</v>
      </c>
      <c r="O37" s="496">
        <f>Q37</f>
        <v>0.28429000829253237</v>
      </c>
      <c r="P37" s="496">
        <f>Q37</f>
        <v>0.28429000829253237</v>
      </c>
      <c r="Q37" s="449">
        <f>'Top Customer Data'!W55</f>
        <v>0.28429000829253237</v>
      </c>
      <c r="R37" s="497">
        <f>Q37</f>
        <v>0.28429000829253237</v>
      </c>
      <c r="S37" s="497">
        <f>R37</f>
        <v>0.28429000829253237</v>
      </c>
      <c r="T37" s="497">
        <f>S37</f>
        <v>0.28429000829253237</v>
      </c>
      <c r="U37" s="497">
        <f>T37</f>
        <v>0.28429000829253237</v>
      </c>
      <c r="V37" s="497">
        <f>U37</f>
        <v>0.28429000829253237</v>
      </c>
      <c r="X37" s="498"/>
    </row>
    <row r="38" spans="1:24" ht="3" customHeight="1">
      <c r="B38" s="465"/>
      <c r="C38" s="466"/>
      <c r="D38" s="473"/>
      <c r="E38" s="473"/>
      <c r="F38" s="499"/>
      <c r="G38" s="499"/>
      <c r="H38" s="446"/>
      <c r="I38" s="446"/>
      <c r="J38" s="447"/>
      <c r="K38" s="446"/>
      <c r="L38" s="500"/>
      <c r="M38" s="501"/>
      <c r="N38" s="501"/>
      <c r="O38" s="501"/>
      <c r="P38" s="501"/>
      <c r="Q38" s="500"/>
      <c r="R38" s="499"/>
      <c r="S38" s="502"/>
      <c r="T38" s="502"/>
      <c r="U38" s="502"/>
      <c r="V38" s="502"/>
      <c r="X38" s="423"/>
    </row>
    <row r="39" spans="1:24" ht="12" customHeight="1">
      <c r="B39" s="433" t="str">
        <f>B17&amp;" Gross Profit"</f>
        <v>Consulting Gross Profit</v>
      </c>
      <c r="C39" s="466"/>
      <c r="D39" s="434">
        <v>24.828102819999991</v>
      </c>
      <c r="E39" s="434">
        <v>31.56622748000002</v>
      </c>
      <c r="F39" s="434">
        <v>42.440441869999987</v>
      </c>
      <c r="G39" s="434">
        <v>52.600548519999947</v>
      </c>
      <c r="H39" s="435">
        <v>13.34325252</v>
      </c>
      <c r="I39" s="435">
        <v>16.048453160000001</v>
      </c>
      <c r="J39" s="436">
        <v>14.36389023000001</v>
      </c>
      <c r="K39" s="435">
        <v>14.1820575076616</v>
      </c>
      <c r="L39" s="437">
        <v>57.937289126930793</v>
      </c>
      <c r="M39" s="438">
        <f t="shared" ref="M39:V39" si="7">M40*M17</f>
        <v>14.141173174388108</v>
      </c>
      <c r="N39" s="438">
        <f t="shared" si="7"/>
        <v>14.586096636218565</v>
      </c>
      <c r="O39" s="438">
        <f t="shared" si="7"/>
        <v>15.039812002434422</v>
      </c>
      <c r="P39" s="438">
        <f t="shared" si="7"/>
        <v>17.800496377979513</v>
      </c>
      <c r="Q39" s="439">
        <f t="shared" si="7"/>
        <v>61.567578191020601</v>
      </c>
      <c r="R39" s="440">
        <f t="shared" si="7"/>
        <v>65.076092870592788</v>
      </c>
      <c r="S39" s="441">
        <f t="shared" si="7"/>
        <v>70.146873206162283</v>
      </c>
      <c r="T39" s="441">
        <f t="shared" si="7"/>
        <v>78.476373495400765</v>
      </c>
      <c r="U39" s="441">
        <f t="shared" si="7"/>
        <v>89.410866392716073</v>
      </c>
      <c r="V39" s="441">
        <f t="shared" si="7"/>
        <v>101.90441462835939</v>
      </c>
    </row>
    <row r="40" spans="1:24" ht="12" customHeight="1">
      <c r="B40" s="493" t="s">
        <v>260</v>
      </c>
      <c r="C40" s="466"/>
      <c r="D40" s="473">
        <f t="shared" ref="D40:L40" si="8">D39/D17</f>
        <v>0.16266511064072822</v>
      </c>
      <c r="E40" s="473">
        <f t="shared" si="8"/>
        <v>0.16103030934976331</v>
      </c>
      <c r="F40" s="473">
        <f t="shared" si="8"/>
        <v>0.14188692392108987</v>
      </c>
      <c r="G40" s="473">
        <f t="shared" si="8"/>
        <v>0.15496282143875534</v>
      </c>
      <c r="H40" s="494">
        <f t="shared" si="8"/>
        <v>0.15749225076217596</v>
      </c>
      <c r="I40" s="494">
        <f t="shared" si="8"/>
        <v>0.18041274974873545</v>
      </c>
      <c r="J40" s="495">
        <f t="shared" si="8"/>
        <v>0.16869984187782988</v>
      </c>
      <c r="K40" s="494">
        <f t="shared" si="8"/>
        <v>0.17329841536663612</v>
      </c>
      <c r="L40" s="474">
        <f t="shared" si="8"/>
        <v>0.17007462990121808</v>
      </c>
      <c r="M40" s="496">
        <f>Q40</f>
        <v>0.17601310396646283</v>
      </c>
      <c r="N40" s="496">
        <f>Q40</f>
        <v>0.17601310396646283</v>
      </c>
      <c r="O40" s="496">
        <f>Q40</f>
        <v>0.17601310396646283</v>
      </c>
      <c r="P40" s="496">
        <f>Q40</f>
        <v>0.17601310396646283</v>
      </c>
      <c r="Q40" s="449">
        <f>'Top Customer Data'!W80</f>
        <v>0.17601310396646283</v>
      </c>
      <c r="R40" s="497">
        <f>Q40</f>
        <v>0.17601310396646283</v>
      </c>
      <c r="S40" s="497">
        <f>R40</f>
        <v>0.17601310396646283</v>
      </c>
      <c r="T40" s="497">
        <f>S40</f>
        <v>0.17601310396646283</v>
      </c>
      <c r="U40" s="497">
        <f>T40</f>
        <v>0.17601310396646283</v>
      </c>
      <c r="V40" s="497">
        <f>U40</f>
        <v>0.17601310396646283</v>
      </c>
      <c r="X40" s="498"/>
    </row>
    <row r="41" spans="1:24" ht="3" customHeight="1">
      <c r="B41" s="465"/>
      <c r="C41" s="466"/>
      <c r="D41" s="473"/>
      <c r="E41" s="473"/>
      <c r="F41" s="499"/>
      <c r="G41" s="499"/>
      <c r="H41" s="454"/>
      <c r="I41" s="454"/>
      <c r="J41" s="455"/>
      <c r="K41" s="454"/>
      <c r="L41" s="500"/>
      <c r="M41" s="501"/>
      <c r="N41" s="501"/>
      <c r="O41" s="501"/>
      <c r="P41" s="501"/>
      <c r="Q41" s="500"/>
      <c r="R41" s="499"/>
      <c r="S41" s="502"/>
      <c r="T41" s="502"/>
      <c r="U41" s="502"/>
      <c r="V41" s="502"/>
    </row>
    <row r="42" spans="1:24" ht="12" customHeight="1">
      <c r="B42" s="433" t="str">
        <f>B20&amp;" Gross Profit"</f>
        <v>Comms Gross Profit</v>
      </c>
      <c r="C42" s="466"/>
      <c r="D42" s="503">
        <v>26.423400086366691</v>
      </c>
      <c r="E42" s="503">
        <v>33.240476666726039</v>
      </c>
      <c r="F42" s="503">
        <v>32.123870114208628</v>
      </c>
      <c r="G42" s="503">
        <v>37.135265012108242</v>
      </c>
      <c r="H42" s="435">
        <v>9.7226968434133205</v>
      </c>
      <c r="I42" s="435">
        <v>9.8300063599319216</v>
      </c>
      <c r="J42" s="436">
        <v>11.242391431081829</v>
      </c>
      <c r="K42" s="435">
        <v>12.008040252624291</v>
      </c>
      <c r="L42" s="504">
        <v>42.803597176627008</v>
      </c>
      <c r="M42" s="438">
        <f t="shared" ref="M42:V42" si="9">M43*M20</f>
        <v>10.616900087896122</v>
      </c>
      <c r="N42" s="438">
        <f t="shared" si="9"/>
        <v>10.950939412834888</v>
      </c>
      <c r="O42" s="438">
        <f t="shared" si="9"/>
        <v>11.291579517588106</v>
      </c>
      <c r="P42" s="438">
        <f t="shared" si="9"/>
        <v>13.364244198794543</v>
      </c>
      <c r="Q42" s="439">
        <f t="shared" si="9"/>
        <v>46.223663217113653</v>
      </c>
      <c r="R42" s="440">
        <f t="shared" si="9"/>
        <v>47.728262795210419</v>
      </c>
      <c r="S42" s="441">
        <f t="shared" si="9"/>
        <v>49.392237618987835</v>
      </c>
      <c r="T42" s="441">
        <f t="shared" si="9"/>
        <v>51.227329757237335</v>
      </c>
      <c r="U42" s="441">
        <f t="shared" si="9"/>
        <v>53.245998070128159</v>
      </c>
      <c r="V42" s="441">
        <f t="shared" si="9"/>
        <v>55.461458446831514</v>
      </c>
    </row>
    <row r="43" spans="1:24" ht="12" customHeight="1">
      <c r="B43" s="493" t="s">
        <v>260</v>
      </c>
      <c r="C43" s="466"/>
      <c r="D43" s="473">
        <f t="shared" ref="D43:L43" si="10">D42/D20</f>
        <v>0.26215895394097</v>
      </c>
      <c r="E43" s="473">
        <f t="shared" si="10"/>
        <v>0.28983575708031684</v>
      </c>
      <c r="F43" s="473">
        <f t="shared" si="10"/>
        <v>0.26371388439057847</v>
      </c>
      <c r="G43" s="473">
        <f t="shared" si="10"/>
        <v>0.27784260098632729</v>
      </c>
      <c r="H43" s="494">
        <f t="shared" si="10"/>
        <v>0.27343303971096633</v>
      </c>
      <c r="I43" s="494">
        <f t="shared" si="10"/>
        <v>0.28684352578842481</v>
      </c>
      <c r="J43" s="495">
        <f t="shared" si="10"/>
        <v>0.30529628070691783</v>
      </c>
      <c r="K43" s="494">
        <f t="shared" si="10"/>
        <v>0.3104371610487941</v>
      </c>
      <c r="L43" s="474">
        <f t="shared" si="10"/>
        <v>0.29452075376723302</v>
      </c>
      <c r="M43" s="496">
        <f>Q43</f>
        <v>0.30048437050587007</v>
      </c>
      <c r="N43" s="496">
        <f>Q43</f>
        <v>0.30048437050587007</v>
      </c>
      <c r="O43" s="496">
        <f>Q43</f>
        <v>0.30048437050587007</v>
      </c>
      <c r="P43" s="496">
        <f>Q43</f>
        <v>0.30048437050587007</v>
      </c>
      <c r="Q43" s="449">
        <f>'Top Customer Data'!W105</f>
        <v>0.30048437050587007</v>
      </c>
      <c r="R43" s="497">
        <f>Q43</f>
        <v>0.30048437050587007</v>
      </c>
      <c r="S43" s="497">
        <f>R43</f>
        <v>0.30048437050587007</v>
      </c>
      <c r="T43" s="497">
        <f>S43</f>
        <v>0.30048437050587007</v>
      </c>
      <c r="U43" s="497">
        <f>T43</f>
        <v>0.30048437050587007</v>
      </c>
      <c r="V43" s="497">
        <f>U43</f>
        <v>0.30048437050587007</v>
      </c>
      <c r="X43" s="498"/>
    </row>
    <row r="44" spans="1:24" ht="3" customHeight="1">
      <c r="B44" s="465"/>
      <c r="C44" s="466"/>
      <c r="D44" s="473"/>
      <c r="E44" s="473"/>
      <c r="F44" s="499"/>
      <c r="G44" s="499"/>
      <c r="H44" s="501"/>
      <c r="I44" s="501"/>
      <c r="J44" s="505"/>
      <c r="K44" s="501"/>
      <c r="L44" s="500"/>
      <c r="M44" s="501"/>
      <c r="N44" s="501"/>
      <c r="O44" s="501"/>
      <c r="P44" s="501"/>
      <c r="Q44" s="500"/>
      <c r="R44" s="499"/>
      <c r="S44" s="502"/>
      <c r="T44" s="502"/>
      <c r="U44" s="502"/>
      <c r="V44" s="502"/>
    </row>
    <row r="45" spans="1:24" ht="12" customHeight="1">
      <c r="B45" s="467" t="s">
        <v>261</v>
      </c>
      <c r="C45" s="467"/>
      <c r="D45" s="468">
        <f t="shared" ref="D45:V45" si="11">SUM(D42,D39,D36,D33)</f>
        <v>171.68777580636663</v>
      </c>
      <c r="E45" s="468">
        <f t="shared" si="11"/>
        <v>179.44857618672603</v>
      </c>
      <c r="F45" s="468">
        <f t="shared" si="11"/>
        <v>210.7795899342085</v>
      </c>
      <c r="G45" s="468">
        <f t="shared" si="11"/>
        <v>233.00941026210808</v>
      </c>
      <c r="H45" s="468">
        <f t="shared" si="11"/>
        <v>55.30611382341332</v>
      </c>
      <c r="I45" s="468">
        <f t="shared" si="11"/>
        <v>64.449810709931967</v>
      </c>
      <c r="J45" s="469">
        <f t="shared" si="11"/>
        <v>55.31242315108183</v>
      </c>
      <c r="K45" s="468">
        <f t="shared" si="11"/>
        <v>67.204058753632921</v>
      </c>
      <c r="L45" s="470">
        <f t="shared" si="11"/>
        <v>242.27288063708329</v>
      </c>
      <c r="M45" s="468">
        <f t="shared" si="11"/>
        <v>59.027077194066159</v>
      </c>
      <c r="N45" s="468">
        <f t="shared" si="11"/>
        <v>60.884244997829654</v>
      </c>
      <c r="O45" s="468">
        <f t="shared" si="11"/>
        <v>62.778111342261589</v>
      </c>
      <c r="P45" s="468">
        <f t="shared" si="11"/>
        <v>74.301563303014731</v>
      </c>
      <c r="Q45" s="470">
        <f t="shared" si="11"/>
        <v>256.99099683717208</v>
      </c>
      <c r="R45" s="468">
        <f t="shared" si="11"/>
        <v>270.1816245064943</v>
      </c>
      <c r="S45" s="471">
        <f t="shared" si="11"/>
        <v>284.70873448064248</v>
      </c>
      <c r="T45" s="471">
        <f t="shared" si="11"/>
        <v>302.831503241603</v>
      </c>
      <c r="U45" s="471">
        <f t="shared" si="11"/>
        <v>324.28189729093469</v>
      </c>
      <c r="V45" s="471">
        <f t="shared" si="11"/>
        <v>348.06719263261391</v>
      </c>
    </row>
    <row r="46" spans="1:24" ht="12" customHeight="1">
      <c r="B46" s="493" t="s">
        <v>260</v>
      </c>
      <c r="C46" s="466"/>
      <c r="D46" s="473">
        <f t="shared" ref="D46:V46" si="12">+D45/D$23</f>
        <v>0.19236776947804868</v>
      </c>
      <c r="E46" s="473">
        <f t="shared" si="12"/>
        <v>0.1981832591706304</v>
      </c>
      <c r="F46" s="473">
        <f t="shared" si="12"/>
        <v>0.18716789907248771</v>
      </c>
      <c r="G46" s="473">
        <f t="shared" si="12"/>
        <v>0.19177388412030083</v>
      </c>
      <c r="H46" s="494">
        <f t="shared" si="12"/>
        <v>0.19503186912415579</v>
      </c>
      <c r="I46" s="494">
        <f t="shared" si="12"/>
        <v>0.19758030920162584</v>
      </c>
      <c r="J46" s="495">
        <f t="shared" si="12"/>
        <v>0.19323928484300953</v>
      </c>
      <c r="K46" s="494">
        <f t="shared" si="12"/>
        <v>0.1932865660747366</v>
      </c>
      <c r="L46" s="474">
        <f t="shared" si="12"/>
        <v>0.19480016647274231</v>
      </c>
      <c r="M46" s="494">
        <f t="shared" si="12"/>
        <v>0.19947015723170927</v>
      </c>
      <c r="N46" s="494">
        <f t="shared" si="12"/>
        <v>0.19947015723170924</v>
      </c>
      <c r="O46" s="494">
        <f t="shared" si="12"/>
        <v>0.19947015723170927</v>
      </c>
      <c r="P46" s="494">
        <f t="shared" si="12"/>
        <v>0.19947015723170927</v>
      </c>
      <c r="Q46" s="474">
        <f t="shared" si="12"/>
        <v>0.19947015723170919</v>
      </c>
      <c r="R46" s="473">
        <f t="shared" si="12"/>
        <v>0.20024542820872493</v>
      </c>
      <c r="S46" s="475">
        <f t="shared" si="12"/>
        <v>0.20040627856070833</v>
      </c>
      <c r="T46" s="475">
        <f t="shared" si="12"/>
        <v>0.20027149676117453</v>
      </c>
      <c r="U46" s="475">
        <f t="shared" si="12"/>
        <v>0.20001975662313567</v>
      </c>
      <c r="V46" s="475">
        <f t="shared" si="12"/>
        <v>0.19976886853608145</v>
      </c>
    </row>
    <row r="47" spans="1:24" s="488" customFormat="1" ht="12" customHeight="1">
      <c r="A47" s="464"/>
      <c r="B47" s="472" t="s">
        <v>262</v>
      </c>
      <c r="C47" s="466"/>
      <c r="D47" s="483">
        <f>-D49-D52</f>
        <v>142.23411938363401</v>
      </c>
      <c r="E47" s="483">
        <f>-E49-E52</f>
        <v>137.28448351298189</v>
      </c>
      <c r="F47" s="483">
        <f>-F49-F52</f>
        <v>144.33603768677233</v>
      </c>
      <c r="G47" s="483">
        <f>-G49-G52</f>
        <v>155.50079039104989</v>
      </c>
      <c r="H47" s="484">
        <f>H45-H64</f>
        <v>41.045456250127778</v>
      </c>
      <c r="I47" s="484">
        <f>I45-I64</f>
        <v>41.290687100127784</v>
      </c>
      <c r="J47" s="485">
        <f>J45-J64</f>
        <v>41.572599070127779</v>
      </c>
      <c r="K47" s="484">
        <f>K45-K64</f>
        <v>40.688887869386924</v>
      </c>
      <c r="L47" s="486">
        <f>-L49-L52</f>
        <v>163.48516531060187</v>
      </c>
      <c r="M47" s="484">
        <f t="shared" ref="M47:V47" si="13">-M49-M52-M57</f>
        <v>41.164019834759316</v>
      </c>
      <c r="N47" s="484">
        <f t="shared" si="13"/>
        <v>42.459162605580467</v>
      </c>
      <c r="O47" s="484">
        <f t="shared" si="13"/>
        <v>43.779898028584206</v>
      </c>
      <c r="P47" s="484">
        <f t="shared" si="13"/>
        <v>51.816067658291431</v>
      </c>
      <c r="Q47" s="486">
        <f t="shared" si="13"/>
        <v>179.21914812721545</v>
      </c>
      <c r="R47" s="483">
        <f t="shared" si="13"/>
        <v>175.20790033283922</v>
      </c>
      <c r="S47" s="487">
        <f t="shared" si="13"/>
        <v>171.3391975825991</v>
      </c>
      <c r="T47" s="487">
        <f t="shared" si="13"/>
        <v>176.57182258424098</v>
      </c>
      <c r="U47" s="487">
        <f t="shared" si="13"/>
        <v>183.10207489505231</v>
      </c>
      <c r="V47" s="487">
        <f t="shared" si="13"/>
        <v>190.09998728336816</v>
      </c>
    </row>
    <row r="48" spans="1:24" ht="3" customHeight="1">
      <c r="B48" s="464"/>
      <c r="C48" s="398"/>
      <c r="D48" s="506"/>
      <c r="E48" s="397"/>
      <c r="F48" s="397"/>
      <c r="G48" s="397"/>
      <c r="H48" s="489"/>
      <c r="I48" s="489"/>
      <c r="J48" s="490"/>
      <c r="K48" s="489"/>
      <c r="L48" s="491"/>
      <c r="M48" s="489"/>
      <c r="N48" s="489"/>
      <c r="O48" s="489"/>
      <c r="P48" s="489"/>
      <c r="Q48" s="491"/>
      <c r="R48" s="397"/>
      <c r="S48" s="492"/>
      <c r="T48" s="492"/>
      <c r="U48" s="492"/>
      <c r="V48" s="492"/>
    </row>
    <row r="49" spans="1:24" ht="12" customHeight="1">
      <c r="A49" s="442"/>
      <c r="B49" s="433" t="s">
        <v>263</v>
      </c>
      <c r="C49" s="400"/>
      <c r="D49" s="503">
        <v>-102.003892895874</v>
      </c>
      <c r="E49" s="503">
        <v>-102.9175265291673</v>
      </c>
      <c r="F49" s="503">
        <v>-105.60660335901279</v>
      </c>
      <c r="G49" s="503">
        <v>-109.6512297932901</v>
      </c>
      <c r="H49" s="435">
        <v>-28.31292749871043</v>
      </c>
      <c r="I49" s="435">
        <v>-28.01786762871043</v>
      </c>
      <c r="J49" s="436">
        <v>-27.355670278710431</v>
      </c>
      <c r="K49" s="435">
        <v>-30.65039451385492</v>
      </c>
      <c r="L49" s="504">
        <v>-114.3368599199862</v>
      </c>
      <c r="M49" s="438">
        <f t="shared" ref="M49:V49" si="14">-M$23*M50</f>
        <v>-26.233020039317406</v>
      </c>
      <c r="N49" s="438">
        <f t="shared" si="14"/>
        <v>-27.058389048396521</v>
      </c>
      <c r="O49" s="438">
        <f t="shared" si="14"/>
        <v>-27.900067751238783</v>
      </c>
      <c r="P49" s="438">
        <f t="shared" si="14"/>
        <v>-33.021360564275739</v>
      </c>
      <c r="Q49" s="439">
        <f t="shared" si="14"/>
        <v>-114.21283740322846</v>
      </c>
      <c r="R49" s="440">
        <f t="shared" si="14"/>
        <v>-119.61017919695838</v>
      </c>
      <c r="S49" s="441">
        <f t="shared" si="14"/>
        <v>-125.94020890761881</v>
      </c>
      <c r="T49" s="441">
        <f t="shared" si="14"/>
        <v>-134.04692341788476</v>
      </c>
      <c r="U49" s="441">
        <f t="shared" si="14"/>
        <v>-143.72249660381715</v>
      </c>
      <c r="V49" s="441">
        <f t="shared" si="14"/>
        <v>-154.45793436346605</v>
      </c>
    </row>
    <row r="50" spans="1:24" ht="12" customHeight="1">
      <c r="A50" s="464"/>
      <c r="B50" s="493" t="s">
        <v>260</v>
      </c>
      <c r="C50" s="466"/>
      <c r="D50" s="473">
        <f t="shared" ref="D50:L50" si="15">-D49/D$23</f>
        <v>0.11429038125921959</v>
      </c>
      <c r="E50" s="473">
        <f t="shared" si="15"/>
        <v>0.11366226061390697</v>
      </c>
      <c r="F50" s="473">
        <f t="shared" si="15"/>
        <v>9.3776470886282895E-2</v>
      </c>
      <c r="G50" s="473">
        <f t="shared" si="15"/>
        <v>9.0246321864737578E-2</v>
      </c>
      <c r="H50" s="494">
        <f t="shared" si="15"/>
        <v>9.9842906845364898E-2</v>
      </c>
      <c r="I50" s="494">
        <f t="shared" si="15"/>
        <v>8.589286591027559E-2</v>
      </c>
      <c r="J50" s="495">
        <f t="shared" si="15"/>
        <v>9.5569672415550005E-2</v>
      </c>
      <c r="K50" s="494">
        <f t="shared" si="15"/>
        <v>8.8154043286838041E-2</v>
      </c>
      <c r="L50" s="474">
        <f t="shared" si="15"/>
        <v>9.1932862183398481E-2</v>
      </c>
      <c r="M50" s="496">
        <f>Q50</f>
        <v>8.864922473971408E-2</v>
      </c>
      <c r="N50" s="496">
        <f>Q50</f>
        <v>8.864922473971408E-2</v>
      </c>
      <c r="O50" s="496">
        <f>Q50</f>
        <v>8.864922473971408E-2</v>
      </c>
      <c r="P50" s="496">
        <f>Q50</f>
        <v>8.864922473971408E-2</v>
      </c>
      <c r="Q50" s="461">
        <v>8.864922473971408E-2</v>
      </c>
      <c r="R50" s="497">
        <f>Q50</f>
        <v>8.864922473971408E-2</v>
      </c>
      <c r="S50" s="497">
        <f>R50</f>
        <v>8.864922473971408E-2</v>
      </c>
      <c r="T50" s="497">
        <f>S50</f>
        <v>8.864922473971408E-2</v>
      </c>
      <c r="U50" s="497">
        <f>T50</f>
        <v>8.864922473971408E-2</v>
      </c>
      <c r="V50" s="497">
        <f>U50</f>
        <v>8.864922473971408E-2</v>
      </c>
      <c r="X50" s="498"/>
    </row>
    <row r="51" spans="1:24" ht="3" customHeight="1">
      <c r="A51" s="464"/>
      <c r="B51" s="465"/>
      <c r="C51" s="466"/>
      <c r="D51" s="473"/>
      <c r="E51" s="473"/>
      <c r="F51" s="499"/>
      <c r="G51" s="499"/>
      <c r="H51" s="501"/>
      <c r="I51" s="501"/>
      <c r="J51" s="505"/>
      <c r="K51" s="501"/>
      <c r="L51" s="500"/>
      <c r="M51" s="501"/>
      <c r="N51" s="501"/>
      <c r="O51" s="501"/>
      <c r="P51" s="501"/>
      <c r="Q51" s="500"/>
      <c r="R51" s="499"/>
      <c r="S51" s="502"/>
      <c r="T51" s="502"/>
      <c r="U51" s="502"/>
      <c r="V51" s="502"/>
    </row>
    <row r="52" spans="1:24" ht="12" customHeight="1">
      <c r="A52" s="464"/>
      <c r="B52" s="433" t="s">
        <v>264</v>
      </c>
      <c r="C52" s="466"/>
      <c r="D52" s="503">
        <v>-40.230226487760007</v>
      </c>
      <c r="E52" s="503">
        <v>-34.366956983814589</v>
      </c>
      <c r="F52" s="503">
        <v>-38.729434327759527</v>
      </c>
      <c r="G52" s="503">
        <v>-45.84956059775979</v>
      </c>
      <c r="H52" s="435">
        <v>-12.454294299440001</v>
      </c>
      <c r="I52" s="435">
        <v>-12.994585019440001</v>
      </c>
      <c r="J52" s="436">
        <v>-13.93869433944</v>
      </c>
      <c r="K52" s="435">
        <v>-9.7602589035546536</v>
      </c>
      <c r="L52" s="504">
        <v>-49.148305390615661</v>
      </c>
      <c r="M52" s="438">
        <f t="shared" ref="M52:V52" si="16">-M$23*M53</f>
        <v>-14.930999795441911</v>
      </c>
      <c r="N52" s="438">
        <f t="shared" si="16"/>
        <v>-15.400773557183948</v>
      </c>
      <c r="O52" s="438">
        <f t="shared" si="16"/>
        <v>-15.879830277345421</v>
      </c>
      <c r="P52" s="438">
        <f t="shared" si="16"/>
        <v>-18.794707094015692</v>
      </c>
      <c r="Q52" s="439">
        <f t="shared" si="16"/>
        <v>-65.006310723986985</v>
      </c>
      <c r="R52" s="440">
        <f t="shared" si="16"/>
        <v>-55.597721135880832</v>
      </c>
      <c r="S52" s="441">
        <f t="shared" si="16"/>
        <v>-45.398988674980281</v>
      </c>
      <c r="T52" s="441">
        <f t="shared" si="16"/>
        <v>-42.524899166356221</v>
      </c>
      <c r="U52" s="441">
        <f t="shared" si="16"/>
        <v>-39.379578291235156</v>
      </c>
      <c r="V52" s="441">
        <f t="shared" si="16"/>
        <v>-35.642052919902106</v>
      </c>
    </row>
    <row r="53" spans="1:24" ht="12" customHeight="1">
      <c r="A53" s="464"/>
      <c r="B53" s="493" t="s">
        <v>260</v>
      </c>
      <c r="C53" s="466"/>
      <c r="D53" s="473">
        <f t="shared" ref="D53:L53" si="17">-D52/D$23</f>
        <v>4.5076004384699608E-2</v>
      </c>
      <c r="E53" s="473">
        <f t="shared" si="17"/>
        <v>3.7954915483654005E-2</v>
      </c>
      <c r="F53" s="473">
        <f t="shared" si="17"/>
        <v>3.4390933475367647E-2</v>
      </c>
      <c r="G53" s="473">
        <f t="shared" si="17"/>
        <v>3.7735593215530196E-2</v>
      </c>
      <c r="H53" s="494">
        <f t="shared" si="17"/>
        <v>4.3918911091775432E-2</v>
      </c>
      <c r="I53" s="494">
        <f t="shared" si="17"/>
        <v>3.9836798553887956E-2</v>
      </c>
      <c r="J53" s="495">
        <f t="shared" si="17"/>
        <v>4.8696172981638926E-2</v>
      </c>
      <c r="K53" s="494">
        <f t="shared" si="17"/>
        <v>2.8071621899867331E-2</v>
      </c>
      <c r="L53" s="474">
        <f t="shared" si="17"/>
        <v>3.9517828189308518E-2</v>
      </c>
      <c r="M53" s="496">
        <f>Q53</f>
        <v>5.0456316294156887E-2</v>
      </c>
      <c r="N53" s="496">
        <f>Q53</f>
        <v>5.0456316294156887E-2</v>
      </c>
      <c r="O53" s="496">
        <f>Q53</f>
        <v>5.0456316294156887E-2</v>
      </c>
      <c r="P53" s="496">
        <f>Q53</f>
        <v>5.0456316294156887E-2</v>
      </c>
      <c r="Q53" s="461">
        <v>5.0456316294156887E-2</v>
      </c>
      <c r="R53" s="497">
        <f>Q53-'Margin Build vF'!J19/10000</f>
        <v>4.1206316294156886E-2</v>
      </c>
      <c r="S53" s="497">
        <f>R53-'Margin Build vF'!K19/10000</f>
        <v>3.1956316294156885E-2</v>
      </c>
      <c r="T53" s="497">
        <f>S53-'Margin Build vF'!L19/10000</f>
        <v>2.812298296082355E-2</v>
      </c>
      <c r="U53" s="497">
        <f>T53-'Margin Build vF'!M19/10000</f>
        <v>2.4289649627490216E-2</v>
      </c>
      <c r="V53" s="497">
        <f>U53-'Margin Build vF'!N19/10000</f>
        <v>2.0456316294156882E-2</v>
      </c>
      <c r="X53" s="498"/>
    </row>
    <row r="54" spans="1:24" ht="3" customHeight="1">
      <c r="A54" s="464"/>
      <c r="B54" s="465"/>
      <c r="C54" s="466"/>
      <c r="D54" s="473"/>
      <c r="E54" s="473"/>
      <c r="F54" s="473"/>
      <c r="G54" s="473"/>
      <c r="H54" s="494"/>
      <c r="I54" s="494"/>
      <c r="J54" s="495"/>
      <c r="K54" s="494"/>
      <c r="L54" s="474"/>
      <c r="M54" s="494"/>
      <c r="N54" s="494"/>
      <c r="O54" s="494"/>
      <c r="P54" s="494"/>
      <c r="Q54" s="474"/>
      <c r="R54" s="473"/>
      <c r="S54" s="475"/>
      <c r="T54" s="475"/>
      <c r="U54" s="475"/>
      <c r="V54" s="475"/>
    </row>
    <row r="55" spans="1:24" ht="12" customHeight="1">
      <c r="A55" s="464"/>
      <c r="B55" s="433" t="s">
        <v>130</v>
      </c>
      <c r="C55" s="466"/>
      <c r="D55" s="503">
        <v>-12.81610200880346</v>
      </c>
      <c r="E55" s="503">
        <v>-12.81610200880346</v>
      </c>
      <c r="F55" s="503">
        <v>-21.650102745939542</v>
      </c>
      <c r="G55" s="503">
        <v>-17.62664724975841</v>
      </c>
      <c r="H55" s="507">
        <f>$L55/4</f>
        <v>-0.27823445197734925</v>
      </c>
      <c r="I55" s="507">
        <f>$L55/4</f>
        <v>-0.27823445197734925</v>
      </c>
      <c r="J55" s="508">
        <f>$L55/4</f>
        <v>-0.27823445197734925</v>
      </c>
      <c r="K55" s="507">
        <f>$L55/4</f>
        <v>-0.27823445197734925</v>
      </c>
      <c r="L55" s="504">
        <v>-1.112937807909397</v>
      </c>
      <c r="M55" s="438">
        <f>Q55*$D$74</f>
        <v>0.88095704069160552</v>
      </c>
      <c r="N55" s="438">
        <f>Q55*$E$74</f>
        <v>0.90867457525785511</v>
      </c>
      <c r="O55" s="438">
        <f>Q55*$F$74</f>
        <v>0.93693982181192148</v>
      </c>
      <c r="P55" s="438">
        <f>Q55*$G$74</f>
        <v>1.1089230305437523</v>
      </c>
      <c r="Q55" s="437">
        <v>3.835494468305134</v>
      </c>
      <c r="R55" s="434">
        <v>0</v>
      </c>
      <c r="S55" s="509">
        <v>0</v>
      </c>
      <c r="T55" s="509">
        <v>0</v>
      </c>
      <c r="U55" s="509">
        <v>0</v>
      </c>
      <c r="V55" s="509">
        <v>0</v>
      </c>
    </row>
    <row r="56" spans="1:24" ht="3" customHeight="1">
      <c r="A56" s="464"/>
      <c r="B56" s="465"/>
      <c r="C56" s="466"/>
      <c r="D56" s="510"/>
      <c r="E56" s="510"/>
      <c r="F56" s="510"/>
      <c r="G56" s="510"/>
      <c r="H56" s="511"/>
      <c r="I56" s="511"/>
      <c r="J56" s="512"/>
      <c r="K56" s="511"/>
      <c r="L56" s="513"/>
      <c r="M56" s="494"/>
      <c r="N56" s="494"/>
      <c r="O56" s="494"/>
      <c r="P56" s="494"/>
      <c r="Q56" s="474"/>
      <c r="R56" s="473"/>
      <c r="S56" s="475"/>
      <c r="T56" s="475"/>
      <c r="U56" s="475"/>
      <c r="V56" s="475"/>
    </row>
    <row r="57" spans="1:24" ht="12" customHeight="1">
      <c r="B57" s="433" t="s">
        <v>265</v>
      </c>
      <c r="C57" s="466"/>
      <c r="D57" s="514"/>
      <c r="E57" s="514"/>
      <c r="F57" s="514"/>
      <c r="G57" s="514"/>
      <c r="H57" s="515"/>
      <c r="I57" s="515"/>
      <c r="J57" s="516"/>
      <c r="K57" s="515"/>
      <c r="L57" s="478"/>
      <c r="M57" s="438">
        <f>Q57*25%</f>
        <v>0</v>
      </c>
      <c r="N57" s="438">
        <f>Q57*25%</f>
        <v>0</v>
      </c>
      <c r="O57" s="438">
        <f>Q57*25%</f>
        <v>0</v>
      </c>
      <c r="P57" s="438">
        <f>Q57*25%</f>
        <v>0</v>
      </c>
      <c r="Q57" s="437">
        <v>0</v>
      </c>
      <c r="R57" s="517">
        <v>0</v>
      </c>
      <c r="S57" s="518">
        <v>0</v>
      </c>
      <c r="T57" s="518">
        <v>0</v>
      </c>
      <c r="U57" s="518">
        <v>0</v>
      </c>
      <c r="V57" s="518">
        <v>0</v>
      </c>
      <c r="X57" s="442"/>
    </row>
    <row r="58" spans="1:24" ht="3" customHeight="1">
      <c r="A58" s="464"/>
      <c r="B58" s="465"/>
      <c r="C58" s="466"/>
      <c r="D58" s="510"/>
      <c r="E58" s="510"/>
      <c r="F58" s="510"/>
      <c r="G58" s="510"/>
      <c r="H58" s="511"/>
      <c r="I58" s="511"/>
      <c r="J58" s="512"/>
      <c r="K58" s="511"/>
      <c r="L58" s="513"/>
      <c r="M58" s="494"/>
      <c r="N58" s="494"/>
      <c r="O58" s="494"/>
      <c r="P58" s="494"/>
      <c r="Q58" s="474"/>
      <c r="R58" s="473"/>
      <c r="S58" s="475"/>
      <c r="T58" s="475"/>
      <c r="U58" s="475"/>
      <c r="V58" s="475"/>
    </row>
    <row r="59" spans="1:24" ht="12" customHeight="1">
      <c r="B59" s="467" t="s">
        <v>266</v>
      </c>
      <c r="C59" s="467"/>
      <c r="D59" s="468">
        <f t="shared" ref="D59:V59" si="18">D45+D49+D52+D55+D57</f>
        <v>16.637554413929159</v>
      </c>
      <c r="E59" s="468">
        <f t="shared" si="18"/>
        <v>29.347990664940674</v>
      </c>
      <c r="F59" s="468">
        <f t="shared" si="18"/>
        <v>44.793449501496632</v>
      </c>
      <c r="G59" s="468">
        <f t="shared" si="18"/>
        <v>59.881972621299781</v>
      </c>
      <c r="H59" s="468">
        <f t="shared" si="18"/>
        <v>14.26065757328554</v>
      </c>
      <c r="I59" s="468">
        <f t="shared" si="18"/>
        <v>23.15912360980418</v>
      </c>
      <c r="J59" s="469">
        <f t="shared" si="18"/>
        <v>13.739824080954051</v>
      </c>
      <c r="K59" s="468">
        <f t="shared" si="18"/>
        <v>26.515170884245997</v>
      </c>
      <c r="L59" s="470">
        <f t="shared" si="18"/>
        <v>77.674777518572029</v>
      </c>
      <c r="M59" s="468">
        <f t="shared" si="18"/>
        <v>18.744014399998449</v>
      </c>
      <c r="N59" s="468">
        <f t="shared" si="18"/>
        <v>19.333756967507043</v>
      </c>
      <c r="O59" s="468">
        <f t="shared" si="18"/>
        <v>19.935153135489305</v>
      </c>
      <c r="P59" s="468">
        <f t="shared" si="18"/>
        <v>23.594418675267054</v>
      </c>
      <c r="Q59" s="470">
        <f t="shared" si="18"/>
        <v>81.607343178261758</v>
      </c>
      <c r="R59" s="468">
        <f t="shared" si="18"/>
        <v>94.9737241736551</v>
      </c>
      <c r="S59" s="471">
        <f t="shared" si="18"/>
        <v>113.36953689804341</v>
      </c>
      <c r="T59" s="471">
        <f t="shared" si="18"/>
        <v>126.25968065736203</v>
      </c>
      <c r="U59" s="471">
        <f t="shared" si="18"/>
        <v>141.17982239588238</v>
      </c>
      <c r="V59" s="471">
        <f t="shared" si="18"/>
        <v>157.96720534924575</v>
      </c>
    </row>
    <row r="60" spans="1:24" ht="12" customHeight="1">
      <c r="A60" s="464"/>
      <c r="B60" s="493" t="s">
        <v>260</v>
      </c>
      <c r="C60" s="466"/>
      <c r="D60" s="473">
        <f t="shared" ref="D60:V60" si="19">+D59/D$23</f>
        <v>1.8641567328514089E-2</v>
      </c>
      <c r="E60" s="473">
        <f t="shared" si="19"/>
        <v>3.241196204329324E-2</v>
      </c>
      <c r="F60" s="473">
        <f t="shared" si="19"/>
        <v>3.9775653031783563E-2</v>
      </c>
      <c r="G60" s="473">
        <f t="shared" si="19"/>
        <v>4.9284698267998077E-2</v>
      </c>
      <c r="H60" s="494">
        <f t="shared" si="19"/>
        <v>5.0288883256881391E-2</v>
      </c>
      <c r="I60" s="494">
        <f t="shared" si="19"/>
        <v>7.0997676381982552E-2</v>
      </c>
      <c r="J60" s="495">
        <f t="shared" si="19"/>
        <v>4.8001400553726994E-2</v>
      </c>
      <c r="K60" s="494">
        <f t="shared" si="19"/>
        <v>7.6260666753608791E-2</v>
      </c>
      <c r="L60" s="474">
        <f t="shared" si="19"/>
        <v>6.2454615438435619E-2</v>
      </c>
      <c r="M60" s="494">
        <f t="shared" si="19"/>
        <v>6.3341633657865951E-2</v>
      </c>
      <c r="N60" s="494">
        <f t="shared" si="19"/>
        <v>6.3341633657865964E-2</v>
      </c>
      <c r="O60" s="494">
        <f t="shared" si="19"/>
        <v>6.3341633657865964E-2</v>
      </c>
      <c r="P60" s="494">
        <f t="shared" si="19"/>
        <v>6.3341633657865964E-2</v>
      </c>
      <c r="Q60" s="474">
        <f t="shared" si="19"/>
        <v>6.3341633657865881E-2</v>
      </c>
      <c r="R60" s="473">
        <f t="shared" si="19"/>
        <v>7.0389887174853977E-2</v>
      </c>
      <c r="S60" s="475">
        <f t="shared" si="19"/>
        <v>7.980073752683739E-2</v>
      </c>
      <c r="T60" s="475">
        <f t="shared" si="19"/>
        <v>8.3499289060636903E-2</v>
      </c>
      <c r="U60" s="475">
        <f t="shared" si="19"/>
        <v>8.7080882255931372E-2</v>
      </c>
      <c r="V60" s="475">
        <f t="shared" si="19"/>
        <v>9.066332750221047E-2</v>
      </c>
    </row>
    <row r="61" spans="1:24" ht="3" customHeight="1">
      <c r="A61" s="464"/>
      <c r="B61" s="493"/>
      <c r="C61" s="466"/>
      <c r="D61" s="519"/>
      <c r="E61" s="519"/>
      <c r="F61" s="519"/>
      <c r="G61" s="519"/>
      <c r="H61" s="515"/>
      <c r="I61" s="515"/>
      <c r="J61" s="516"/>
      <c r="K61" s="515"/>
      <c r="L61" s="520"/>
      <c r="M61" s="521"/>
      <c r="N61" s="521"/>
      <c r="O61" s="521"/>
      <c r="P61" s="521"/>
      <c r="Q61" s="520"/>
      <c r="R61" s="519"/>
      <c r="S61" s="522"/>
      <c r="T61" s="522"/>
      <c r="U61" s="522"/>
      <c r="V61" s="522"/>
    </row>
    <row r="62" spans="1:24" ht="12" customHeight="1">
      <c r="B62" s="433" t="s">
        <v>267</v>
      </c>
      <c r="C62" s="523">
        <f>C26</f>
        <v>1</v>
      </c>
      <c r="D62" s="477"/>
      <c r="E62" s="477"/>
      <c r="F62" s="477"/>
      <c r="G62" s="477"/>
      <c r="H62" s="446"/>
      <c r="I62" s="446"/>
      <c r="J62" s="447"/>
      <c r="K62" s="446"/>
      <c r="L62" s="478"/>
      <c r="M62" s="446"/>
      <c r="N62" s="446"/>
      <c r="O62" s="446"/>
      <c r="P62" s="446"/>
      <c r="Q62" s="479"/>
      <c r="R62" s="480"/>
      <c r="S62" s="481"/>
      <c r="T62" s="481"/>
      <c r="U62" s="481"/>
      <c r="V62" s="481"/>
    </row>
    <row r="63" spans="1:24" ht="3" customHeight="1">
      <c r="A63" s="464"/>
      <c r="B63" s="465"/>
      <c r="C63" s="466"/>
      <c r="D63" s="444"/>
      <c r="E63" s="445"/>
      <c r="F63" s="460"/>
      <c r="G63" s="460"/>
      <c r="H63" s="446"/>
      <c r="I63" s="446"/>
      <c r="J63" s="447"/>
      <c r="K63" s="446"/>
      <c r="L63" s="461"/>
      <c r="M63" s="446"/>
      <c r="N63" s="446"/>
      <c r="O63" s="446"/>
      <c r="P63" s="446"/>
      <c r="Q63" s="461"/>
      <c r="R63" s="460"/>
      <c r="S63" s="482"/>
      <c r="T63" s="482"/>
      <c r="U63" s="482"/>
      <c r="V63" s="482"/>
    </row>
    <row r="64" spans="1:24" ht="12" customHeight="1">
      <c r="A64" s="442"/>
      <c r="B64" s="467" t="s">
        <v>268</v>
      </c>
      <c r="C64" s="467"/>
      <c r="D64" s="468">
        <f t="shared" ref="D64:V64" si="20">D59+D62</f>
        <v>16.637554413929159</v>
      </c>
      <c r="E64" s="468">
        <f t="shared" si="20"/>
        <v>29.347990664940674</v>
      </c>
      <c r="F64" s="468">
        <f t="shared" si="20"/>
        <v>44.793449501496632</v>
      </c>
      <c r="G64" s="468">
        <f t="shared" si="20"/>
        <v>59.881972621299781</v>
      </c>
      <c r="H64" s="468">
        <f t="shared" si="20"/>
        <v>14.26065757328554</v>
      </c>
      <c r="I64" s="468">
        <f t="shared" si="20"/>
        <v>23.15912360980418</v>
      </c>
      <c r="J64" s="469">
        <f t="shared" si="20"/>
        <v>13.739824080954051</v>
      </c>
      <c r="K64" s="468">
        <f t="shared" si="20"/>
        <v>26.515170884245997</v>
      </c>
      <c r="L64" s="470">
        <f t="shared" si="20"/>
        <v>77.674777518572029</v>
      </c>
      <c r="M64" s="468">
        <f t="shared" si="20"/>
        <v>18.744014399998449</v>
      </c>
      <c r="N64" s="468">
        <f t="shared" si="20"/>
        <v>19.333756967507043</v>
      </c>
      <c r="O64" s="468">
        <f t="shared" si="20"/>
        <v>19.935153135489305</v>
      </c>
      <c r="P64" s="468">
        <f t="shared" si="20"/>
        <v>23.594418675267054</v>
      </c>
      <c r="Q64" s="470">
        <f t="shared" si="20"/>
        <v>81.607343178261758</v>
      </c>
      <c r="R64" s="468">
        <f t="shared" si="20"/>
        <v>94.9737241736551</v>
      </c>
      <c r="S64" s="471">
        <f t="shared" si="20"/>
        <v>113.36953689804341</v>
      </c>
      <c r="T64" s="471">
        <f t="shared" si="20"/>
        <v>126.25968065736203</v>
      </c>
      <c r="U64" s="471">
        <f t="shared" si="20"/>
        <v>141.17982239588238</v>
      </c>
      <c r="V64" s="471">
        <f t="shared" si="20"/>
        <v>157.96720534924575</v>
      </c>
    </row>
    <row r="65" spans="1:24" ht="12" customHeight="1">
      <c r="A65" s="464"/>
      <c r="B65" s="493" t="s">
        <v>260</v>
      </c>
      <c r="C65" s="466"/>
      <c r="D65" s="473">
        <f t="shared" ref="D65:V65" si="21">+D64/D$28</f>
        <v>1.8641567328514089E-2</v>
      </c>
      <c r="E65" s="473">
        <f t="shared" si="21"/>
        <v>3.241196204329324E-2</v>
      </c>
      <c r="F65" s="473">
        <f t="shared" si="21"/>
        <v>3.9775653031783563E-2</v>
      </c>
      <c r="G65" s="473">
        <f t="shared" si="21"/>
        <v>4.9284698267998077E-2</v>
      </c>
      <c r="H65" s="494">
        <f t="shared" si="21"/>
        <v>5.0288883256881391E-2</v>
      </c>
      <c r="I65" s="494">
        <f t="shared" si="21"/>
        <v>7.0997676381982552E-2</v>
      </c>
      <c r="J65" s="495">
        <f t="shared" si="21"/>
        <v>4.8001400553726994E-2</v>
      </c>
      <c r="K65" s="494">
        <f t="shared" si="21"/>
        <v>7.6260666753608791E-2</v>
      </c>
      <c r="L65" s="474">
        <f t="shared" si="21"/>
        <v>6.2454615438435619E-2</v>
      </c>
      <c r="M65" s="494">
        <f t="shared" si="21"/>
        <v>6.3341633657865951E-2</v>
      </c>
      <c r="N65" s="494">
        <f t="shared" si="21"/>
        <v>6.3341633657865964E-2</v>
      </c>
      <c r="O65" s="494">
        <f t="shared" si="21"/>
        <v>6.3341633657865964E-2</v>
      </c>
      <c r="P65" s="494">
        <f t="shared" si="21"/>
        <v>6.3341633657865964E-2</v>
      </c>
      <c r="Q65" s="474">
        <f t="shared" si="21"/>
        <v>6.3341633657865881E-2</v>
      </c>
      <c r="R65" s="473">
        <f t="shared" si="21"/>
        <v>7.0389887174853977E-2</v>
      </c>
      <c r="S65" s="475">
        <f t="shared" si="21"/>
        <v>7.980073752683739E-2</v>
      </c>
      <c r="T65" s="475">
        <f t="shared" si="21"/>
        <v>8.3499289060636903E-2</v>
      </c>
      <c r="U65" s="475">
        <f t="shared" si="21"/>
        <v>8.7080882255931372E-2</v>
      </c>
      <c r="V65" s="475">
        <f t="shared" si="21"/>
        <v>9.066332750221047E-2</v>
      </c>
    </row>
    <row r="66" spans="1:24" ht="3" customHeight="1">
      <c r="A66" s="464"/>
      <c r="B66" s="493"/>
      <c r="C66" s="466"/>
      <c r="D66" s="519"/>
      <c r="E66" s="519"/>
      <c r="F66" s="519"/>
      <c r="G66" s="519"/>
      <c r="H66" s="515"/>
      <c r="I66" s="515"/>
      <c r="J66" s="516"/>
      <c r="K66" s="515"/>
      <c r="L66" s="520"/>
      <c r="M66" s="521"/>
      <c r="N66" s="521"/>
      <c r="O66" s="521"/>
      <c r="P66" s="521"/>
      <c r="Q66" s="520"/>
      <c r="R66" s="519"/>
      <c r="S66" s="522"/>
      <c r="T66" s="522"/>
      <c r="U66" s="522"/>
      <c r="V66" s="522"/>
    </row>
    <row r="67" spans="1:24" ht="12" customHeight="1">
      <c r="B67" s="433" t="s">
        <v>269</v>
      </c>
      <c r="C67" s="466"/>
      <c r="D67" s="503">
        <v>-44.914875480000013</v>
      </c>
      <c r="E67" s="503">
        <v>-36.324867179999998</v>
      </c>
      <c r="F67" s="503">
        <v>-40.619871330000002</v>
      </c>
      <c r="G67" s="503">
        <v>-40.619871330000002</v>
      </c>
      <c r="H67" s="515"/>
      <c r="I67" s="515"/>
      <c r="J67" s="516"/>
      <c r="K67" s="515"/>
      <c r="L67" s="504">
        <v>-28.927586611999999</v>
      </c>
      <c r="M67" s="438">
        <f>M$28*M68</f>
        <v>-7.9570797226081842</v>
      </c>
      <c r="N67" s="438">
        <f>N$28*N68</f>
        <v>-8.2074331701323118</v>
      </c>
      <c r="O67" s="438">
        <f>O$28*O68</f>
        <v>-8.4627337237589835</v>
      </c>
      <c r="P67" s="438">
        <f>P$28*P68</f>
        <v>-10.016139894115256</v>
      </c>
      <c r="Q67" s="524">
        <f t="shared" ref="Q67:V67" si="22">Q$23*Q68</f>
        <v>-34.643386510614739</v>
      </c>
      <c r="R67" s="525">
        <f t="shared" si="22"/>
        <v>-36.280524700518384</v>
      </c>
      <c r="S67" s="526">
        <f t="shared" si="22"/>
        <v>-38.20056863669928</v>
      </c>
      <c r="T67" s="526">
        <f t="shared" si="22"/>
        <v>-40.659522030167935</v>
      </c>
      <c r="U67" s="526">
        <f t="shared" si="22"/>
        <v>-43.594346426558602</v>
      </c>
      <c r="V67" s="526">
        <f t="shared" si="22"/>
        <v>-46.850652181008343</v>
      </c>
    </row>
    <row r="68" spans="1:24" ht="12" customHeight="1">
      <c r="B68" s="433" t="s">
        <v>270</v>
      </c>
      <c r="C68" s="466"/>
      <c r="D68" s="473">
        <f t="shared" ref="D68:L68" si="23">D67/D$23</f>
        <v>-5.0324924834581633E-2</v>
      </c>
      <c r="E68" s="473">
        <f t="shared" si="23"/>
        <v>-4.0117234249781586E-2</v>
      </c>
      <c r="F68" s="473">
        <f t="shared" si="23"/>
        <v>-3.6069602278873167E-2</v>
      </c>
      <c r="G68" s="473">
        <f t="shared" si="23"/>
        <v>-3.3431398708997681E-2</v>
      </c>
      <c r="H68" s="515">
        <f t="shared" si="23"/>
        <v>0</v>
      </c>
      <c r="I68" s="515">
        <f t="shared" si="23"/>
        <v>0</v>
      </c>
      <c r="J68" s="516">
        <f t="shared" si="23"/>
        <v>0</v>
      </c>
      <c r="K68" s="515">
        <f t="shared" si="23"/>
        <v>0</v>
      </c>
      <c r="L68" s="474">
        <f t="shared" si="23"/>
        <v>-2.3259304437434999E-2</v>
      </c>
      <c r="M68" s="496">
        <f>Q68</f>
        <v>-2.6889353476805E-2</v>
      </c>
      <c r="N68" s="496">
        <f>Q68</f>
        <v>-2.6889353476805E-2</v>
      </c>
      <c r="O68" s="496">
        <f>Q68</f>
        <v>-2.6889353476805E-2</v>
      </c>
      <c r="P68" s="496">
        <f>Q68</f>
        <v>-2.6889353476805E-2</v>
      </c>
      <c r="Q68" s="461">
        <f t="shared" ref="Q68:V68" si="24">IF($C$62=1,-2.6889353476805%,-2.6889353476805%)</f>
        <v>-2.6889353476805E-2</v>
      </c>
      <c r="R68" s="460">
        <f t="shared" si="24"/>
        <v>-2.6889353476805E-2</v>
      </c>
      <c r="S68" s="482">
        <f t="shared" si="24"/>
        <v>-2.6889353476805E-2</v>
      </c>
      <c r="T68" s="482">
        <f t="shared" si="24"/>
        <v>-2.6889353476805E-2</v>
      </c>
      <c r="U68" s="482">
        <f t="shared" si="24"/>
        <v>-2.6889353476805E-2</v>
      </c>
      <c r="V68" s="482">
        <f t="shared" si="24"/>
        <v>-2.6889353476805E-2</v>
      </c>
      <c r="X68" s="442"/>
    </row>
    <row r="69" spans="1:24" ht="3" customHeight="1">
      <c r="A69" s="464"/>
      <c r="B69" s="433"/>
      <c r="C69" s="466"/>
      <c r="D69" s="527"/>
      <c r="E69" s="527"/>
      <c r="F69" s="527"/>
      <c r="G69" s="527"/>
      <c r="H69" s="528"/>
      <c r="I69" s="528"/>
      <c r="J69" s="529"/>
      <c r="K69" s="528"/>
      <c r="L69" s="530"/>
      <c r="M69" s="507"/>
      <c r="N69" s="507"/>
      <c r="O69" s="507"/>
      <c r="P69" s="507"/>
      <c r="Q69" s="524"/>
      <c r="R69" s="525"/>
      <c r="S69" s="526"/>
      <c r="T69" s="526"/>
      <c r="U69" s="526"/>
      <c r="V69" s="526"/>
    </row>
    <row r="70" spans="1:24" ht="12" hidden="1" customHeight="1">
      <c r="B70" s="531" t="s">
        <v>271</v>
      </c>
      <c r="C70" s="639"/>
      <c r="D70" s="532" t="s">
        <v>243</v>
      </c>
      <c r="E70" s="532" t="s">
        <v>244</v>
      </c>
      <c r="F70" s="532" t="s">
        <v>245</v>
      </c>
      <c r="G70" s="532" t="s">
        <v>246</v>
      </c>
      <c r="H70" s="402"/>
      <c r="I70" s="402"/>
      <c r="J70" s="403"/>
      <c r="K70" s="402"/>
      <c r="L70" s="533"/>
      <c r="M70" s="640"/>
      <c r="N70" s="640"/>
      <c r="O70" s="640"/>
      <c r="P70" s="640"/>
      <c r="Q70" s="641"/>
      <c r="R70" s="642"/>
      <c r="S70" s="642"/>
      <c r="T70" s="642"/>
      <c r="U70" s="642"/>
      <c r="V70" s="642"/>
    </row>
    <row r="71" spans="1:24" ht="12" hidden="1" customHeight="1">
      <c r="C71" s="534" t="s">
        <v>272</v>
      </c>
      <c r="D71" s="535">
        <v>0.23415237997048149</v>
      </c>
      <c r="E71" s="535">
        <v>0.20871898337036951</v>
      </c>
      <c r="F71" s="535">
        <v>0.2331369253980182</v>
      </c>
      <c r="G71" s="535">
        <v>0.32399171126113069</v>
      </c>
      <c r="H71" s="536"/>
      <c r="I71" s="536"/>
      <c r="J71" s="537"/>
      <c r="K71" s="536"/>
      <c r="L71" s="538"/>
      <c r="Q71" s="539"/>
      <c r="R71" s="540"/>
      <c r="S71" s="540"/>
      <c r="T71" s="540"/>
      <c r="U71" s="540"/>
      <c r="V71" s="540"/>
    </row>
    <row r="72" spans="1:24" ht="12" hidden="1" customHeight="1">
      <c r="C72" s="534" t="s">
        <v>273</v>
      </c>
      <c r="D72" s="535">
        <v>0.22689474066733209</v>
      </c>
      <c r="E72" s="535">
        <v>0.2397385579360124</v>
      </c>
      <c r="F72" s="535">
        <v>0.26955674145497799</v>
      </c>
      <c r="G72" s="535">
        <v>0.26380995994167772</v>
      </c>
      <c r="H72" s="536"/>
      <c r="I72" s="536"/>
      <c r="J72" s="537"/>
      <c r="K72" s="536"/>
      <c r="L72" s="538"/>
      <c r="Q72" s="539"/>
      <c r="R72" s="540"/>
      <c r="S72" s="540"/>
      <c r="T72" s="540"/>
      <c r="U72" s="540"/>
      <c r="V72" s="540"/>
    </row>
    <row r="73" spans="1:24" ht="12" hidden="1" customHeight="1">
      <c r="C73" s="534" t="s">
        <v>274</v>
      </c>
      <c r="D73" s="535">
        <v>0.2280090477165822</v>
      </c>
      <c r="E73" s="535">
        <v>0.26227838812859577</v>
      </c>
      <c r="F73" s="535">
        <v>0.2301504263045249</v>
      </c>
      <c r="G73" s="535">
        <v>0.27956213785029699</v>
      </c>
      <c r="H73" s="536"/>
      <c r="I73" s="536"/>
      <c r="J73" s="537"/>
      <c r="K73" s="536"/>
      <c r="L73" s="538"/>
    </row>
    <row r="74" spans="1:24" ht="12" hidden="1" customHeight="1">
      <c r="C74" s="534" t="s">
        <v>275</v>
      </c>
      <c r="D74" s="541">
        <f>AVERAGE(D71:D73)</f>
        <v>0.2296853894514653</v>
      </c>
      <c r="E74" s="541">
        <f>AVERAGE(E71:E73)</f>
        <v>0.23691197647832593</v>
      </c>
      <c r="F74" s="541">
        <f>AVERAGE(F71:F73)</f>
        <v>0.24428136438584036</v>
      </c>
      <c r="G74" s="541">
        <f>AVERAGE(G71:G73)</f>
        <v>0.28912126968436852</v>
      </c>
      <c r="H74" s="542"/>
      <c r="I74" s="542"/>
      <c r="J74" s="543"/>
      <c r="K74" s="542"/>
    </row>
    <row r="75" spans="1:24" ht="4" customHeight="1" collapsed="1"/>
    <row r="76" spans="1:24" ht="12" customHeight="1">
      <c r="A76" s="424" t="s">
        <v>1</v>
      </c>
      <c r="B76" s="425" t="s">
        <v>276</v>
      </c>
      <c r="C76" s="426"/>
      <c r="D76" s="425"/>
      <c r="E76" s="425"/>
      <c r="F76" s="425"/>
      <c r="G76" s="425"/>
      <c r="H76" s="425"/>
      <c r="I76" s="425"/>
      <c r="J76" s="427"/>
      <c r="K76" s="425"/>
      <c r="L76" s="427"/>
      <c r="M76" s="425"/>
      <c r="N76" s="425"/>
      <c r="O76" s="425"/>
      <c r="P76" s="425"/>
      <c r="Q76" s="427"/>
      <c r="R76" s="425" t="s">
        <v>1</v>
      </c>
      <c r="S76" s="425"/>
      <c r="T76" s="425"/>
      <c r="U76" s="425"/>
      <c r="V76" s="425"/>
    </row>
    <row r="77" spans="1:24" ht="4" customHeight="1">
      <c r="A77" s="424"/>
      <c r="B77" s="397"/>
      <c r="C77" s="398"/>
      <c r="D77" s="397"/>
      <c r="E77" s="397"/>
      <c r="F77" s="397"/>
      <c r="G77" s="397"/>
      <c r="H77" s="489"/>
      <c r="I77" s="489"/>
      <c r="J77" s="490"/>
      <c r="K77" s="489"/>
      <c r="L77" s="544"/>
      <c r="M77" s="489"/>
      <c r="N77" s="489"/>
      <c r="O77" s="489"/>
      <c r="P77" s="489"/>
      <c r="Q77" s="544"/>
      <c r="R77" s="397"/>
      <c r="S77" s="397"/>
      <c r="T77" s="397"/>
      <c r="U77" s="397"/>
      <c r="V77" s="397"/>
    </row>
    <row r="78" spans="1:24" ht="12" customHeight="1">
      <c r="B78" s="389" t="s">
        <v>277</v>
      </c>
      <c r="C78" s="390"/>
      <c r="D78" s="390"/>
      <c r="E78" s="390"/>
      <c r="F78" s="390"/>
      <c r="G78" s="390"/>
      <c r="H78" s="391"/>
      <c r="I78" s="391"/>
      <c r="J78" s="392"/>
      <c r="K78" s="391"/>
      <c r="L78" s="393"/>
      <c r="M78" s="391"/>
      <c r="N78" s="391"/>
      <c r="O78" s="391"/>
      <c r="P78" s="391"/>
      <c r="Q78" s="393"/>
      <c r="R78" s="390"/>
      <c r="S78" s="390"/>
      <c r="T78" s="390"/>
      <c r="U78" s="390"/>
      <c r="V78" s="390"/>
    </row>
    <row r="79" spans="1:24" ht="4" customHeight="1"/>
    <row r="80" spans="1:24" ht="12" customHeight="1">
      <c r="B80" s="545" t="s">
        <v>278</v>
      </c>
      <c r="F80" s="546" t="s">
        <v>279</v>
      </c>
      <c r="G80" s="546" t="s">
        <v>279</v>
      </c>
      <c r="H80" s="547" t="s">
        <v>279</v>
      </c>
      <c r="I80" s="547" t="s">
        <v>279</v>
      </c>
      <c r="J80" s="548" t="s">
        <v>279</v>
      </c>
      <c r="K80" s="547" t="s">
        <v>280</v>
      </c>
      <c r="L80" s="549" t="s">
        <v>280</v>
      </c>
    </row>
    <row r="81" spans="1:22" ht="12" customHeight="1">
      <c r="B81" s="388" t="s">
        <v>281</v>
      </c>
      <c r="D81" s="550"/>
      <c r="E81" s="550"/>
      <c r="F81" s="503">
        <v>372.64389045367852</v>
      </c>
      <c r="G81" s="503">
        <v>407.98786474867848</v>
      </c>
      <c r="H81" s="551">
        <v>303.90877753058157</v>
      </c>
      <c r="I81" s="551">
        <v>332.64676785851429</v>
      </c>
      <c r="J81" s="552">
        <v>309.26415280197301</v>
      </c>
      <c r="K81" s="507">
        <f>L81</f>
        <v>414.5788835165751</v>
      </c>
      <c r="L81" s="524">
        <f>(L23)*L99/365</f>
        <v>414.5788835165751</v>
      </c>
      <c r="M81" s="507">
        <f>(SUM(M23,K23,J23,I23))*M99/365</f>
        <v>418.69386893512961</v>
      </c>
      <c r="N81" s="507">
        <f>(SUM(N23,M23,K23,J23))*N99/365</f>
        <v>411.70510354277269</v>
      </c>
      <c r="O81" s="507">
        <f>(SUM(O23,N23,M23,K23))*O99/365</f>
        <v>421.20083530015506</v>
      </c>
      <c r="P81" s="507">
        <f>(SUM(P23,O23,N23,M23))*P99/365</f>
        <v>429.46885776300826</v>
      </c>
      <c r="Q81" s="524">
        <f t="shared" ref="Q81:V81" si="25">(Q23)*Q99/365</f>
        <v>429.46885776300826</v>
      </c>
      <c r="R81" s="525">
        <f t="shared" si="25"/>
        <v>449.76421394023089</v>
      </c>
      <c r="S81" s="526">
        <f t="shared" si="25"/>
        <v>473.56671015040212</v>
      </c>
      <c r="T81" s="526">
        <f t="shared" si="25"/>
        <v>504.04998593701964</v>
      </c>
      <c r="U81" s="526">
        <f t="shared" si="25"/>
        <v>540.43256305218472</v>
      </c>
      <c r="V81" s="526">
        <f t="shared" si="25"/>
        <v>580.80049626397226</v>
      </c>
    </row>
    <row r="82" spans="1:22" ht="12" customHeight="1">
      <c r="B82" s="388" t="s">
        <v>282</v>
      </c>
      <c r="D82" s="550"/>
      <c r="E82" s="550"/>
      <c r="F82" s="503">
        <v>23.147299199999999</v>
      </c>
      <c r="G82" s="503">
        <v>22.857490070000001</v>
      </c>
      <c r="H82" s="551">
        <v>9.1901558399999992</v>
      </c>
      <c r="I82" s="551">
        <v>7.3885369900000013</v>
      </c>
      <c r="J82" s="552">
        <v>20.764425129999999</v>
      </c>
      <c r="K82" s="507">
        <f>L82</f>
        <v>24.480195882329834</v>
      </c>
      <c r="L82" s="524">
        <f>L100*L$23</f>
        <v>24.480195882329834</v>
      </c>
      <c r="M82" s="507">
        <f>M100*SUM(M$23,K23,J23,I23)</f>
        <v>24.723178950460746</v>
      </c>
      <c r="N82" s="507">
        <f>N100*SUM(N$23,M23,K23,J23)</f>
        <v>24.310503938339185</v>
      </c>
      <c r="O82" s="507">
        <f>O100*SUM(O$23,N23,M23,K23)</f>
        <v>24.871211158868629</v>
      </c>
      <c r="P82" s="507">
        <f>P100*SUM(P$23,O23,N23,M23)</f>
        <v>25.359424180557802</v>
      </c>
      <c r="Q82" s="524">
        <f t="shared" ref="Q82:V83" si="26">Q100*Q$23</f>
        <v>25.359424180557802</v>
      </c>
      <c r="R82" s="525">
        <f t="shared" si="26"/>
        <v>26.557831322054675</v>
      </c>
      <c r="S82" s="526">
        <f t="shared" si="26"/>
        <v>27.963329269202546</v>
      </c>
      <c r="T82" s="526">
        <f t="shared" si="26"/>
        <v>29.763316176547391</v>
      </c>
      <c r="U82" s="526">
        <f t="shared" si="26"/>
        <v>31.911647048897777</v>
      </c>
      <c r="V82" s="526">
        <f t="shared" si="26"/>
        <v>34.295306592787348</v>
      </c>
    </row>
    <row r="83" spans="1:22" ht="12" customHeight="1">
      <c r="B83" s="388" t="s">
        <v>283</v>
      </c>
      <c r="C83" s="390"/>
      <c r="D83" s="553"/>
      <c r="E83" s="553"/>
      <c r="F83" s="554">
        <v>36.881669319999993</v>
      </c>
      <c r="G83" s="554">
        <v>31.306143160000001</v>
      </c>
      <c r="H83" s="555">
        <v>35.486523499999997</v>
      </c>
      <c r="I83" s="555">
        <v>34.955377520000013</v>
      </c>
      <c r="J83" s="556">
        <v>36.366904300000002</v>
      </c>
      <c r="K83" s="557">
        <f>L83</f>
        <v>36.38820612612961</v>
      </c>
      <c r="L83" s="558">
        <f>L101*L$23</f>
        <v>36.38820612612961</v>
      </c>
      <c r="M83" s="507">
        <f>M101*SUM(M$23,K23,J23,I23)</f>
        <v>36.749384525632905</v>
      </c>
      <c r="N83" s="507">
        <f>N101*SUM(N$23,M23,K23,J23)</f>
        <v>36.135970177301587</v>
      </c>
      <c r="O83" s="507">
        <f>O101*SUM(O$23,N23,M23,K23)</f>
        <v>36.9694246976456</v>
      </c>
      <c r="P83" s="507">
        <f>P101*SUM(P$23,O23,N23,M23)</f>
        <v>37.695121344522079</v>
      </c>
      <c r="Q83" s="558">
        <f t="shared" si="26"/>
        <v>37.695121344522079</v>
      </c>
      <c r="R83" s="559">
        <f t="shared" si="26"/>
        <v>39.476474986356735</v>
      </c>
      <c r="S83" s="560">
        <f t="shared" si="26"/>
        <v>41.565655532807547</v>
      </c>
      <c r="T83" s="560">
        <f t="shared" si="26"/>
        <v>44.241218053778894</v>
      </c>
      <c r="U83" s="560">
        <f t="shared" si="26"/>
        <v>47.434571039432115</v>
      </c>
      <c r="V83" s="560">
        <f t="shared" si="26"/>
        <v>50.977724665918331</v>
      </c>
    </row>
    <row r="84" spans="1:22" ht="12" customHeight="1">
      <c r="B84" s="561" t="s">
        <v>284</v>
      </c>
      <c r="D84" s="550"/>
      <c r="E84" s="550"/>
      <c r="F84" s="562">
        <f>SUM(F81:F83)</f>
        <v>432.67285897367856</v>
      </c>
      <c r="G84" s="562">
        <f>SUM(G81:G83)</f>
        <v>462.15149797867844</v>
      </c>
      <c r="H84" s="563">
        <f>SUM(H81:H83)</f>
        <v>348.58545687058154</v>
      </c>
      <c r="I84" s="563">
        <f>SUM(I81:I83)</f>
        <v>374.99068236851429</v>
      </c>
      <c r="J84" s="564">
        <f>SUM(J81:J83)</f>
        <v>366.39548223197301</v>
      </c>
      <c r="K84" s="565">
        <f>L84</f>
        <v>475.44728552503454</v>
      </c>
      <c r="L84" s="566">
        <f t="shared" ref="L84:V84" si="27">SUM(L81:L83)</f>
        <v>475.44728552503454</v>
      </c>
      <c r="M84" s="567">
        <f t="shared" si="27"/>
        <v>480.16643241122324</v>
      </c>
      <c r="N84" s="567">
        <f t="shared" si="27"/>
        <v>472.15157765841349</v>
      </c>
      <c r="O84" s="567">
        <f t="shared" si="27"/>
        <v>483.04147115666927</v>
      </c>
      <c r="P84" s="567">
        <f t="shared" si="27"/>
        <v>492.52340328808816</v>
      </c>
      <c r="Q84" s="566">
        <f t="shared" si="27"/>
        <v>492.52340328808816</v>
      </c>
      <c r="R84" s="568">
        <f t="shared" si="27"/>
        <v>515.79852024864226</v>
      </c>
      <c r="S84" s="569">
        <f t="shared" si="27"/>
        <v>543.09569495241226</v>
      </c>
      <c r="T84" s="569">
        <f t="shared" si="27"/>
        <v>578.05452016734591</v>
      </c>
      <c r="U84" s="569">
        <f t="shared" si="27"/>
        <v>619.77878114051464</v>
      </c>
      <c r="V84" s="569">
        <f t="shared" si="27"/>
        <v>666.07352752267798</v>
      </c>
    </row>
    <row r="85" spans="1:22" ht="4" customHeight="1">
      <c r="B85" s="388"/>
      <c r="K85" s="570"/>
      <c r="L85" s="571"/>
      <c r="M85" s="570"/>
      <c r="N85" s="570"/>
      <c r="O85" s="570"/>
      <c r="P85" s="570"/>
      <c r="Q85" s="571"/>
      <c r="R85" s="442"/>
      <c r="S85" s="572"/>
      <c r="T85" s="572"/>
      <c r="U85" s="572"/>
      <c r="V85" s="572"/>
    </row>
    <row r="86" spans="1:22" ht="12" customHeight="1">
      <c r="B86" s="388" t="s">
        <v>285</v>
      </c>
      <c r="D86" s="550"/>
      <c r="E86" s="550"/>
      <c r="F86" s="503">
        <v>-254.3680548013202</v>
      </c>
      <c r="G86" s="503">
        <v>-289.87948738156661</v>
      </c>
      <c r="H86" s="551">
        <v>-226.29699021877471</v>
      </c>
      <c r="I86" s="551">
        <v>-224.93203472424929</v>
      </c>
      <c r="J86" s="552">
        <v>-207.04566516434789</v>
      </c>
      <c r="K86" s="507">
        <f>L86</f>
        <v>-286.94576150184656</v>
      </c>
      <c r="L86" s="524">
        <f>-L31*L103/365</f>
        <v>-286.94576150184656</v>
      </c>
      <c r="M86" s="507">
        <f>-SUM(M31,K31,J31,I31)*M103/365</f>
        <v>-289.41688463612024</v>
      </c>
      <c r="N86" s="507">
        <f>-SUM(N31,M31,K31,J31)*N103/365</f>
        <v>-284.43111129558235</v>
      </c>
      <c r="O86" s="507">
        <f>-SUM(O31,N31,M31,K31)*O103/365</f>
        <v>-290.45430671000264</v>
      </c>
      <c r="P86" s="507">
        <f>-SUM(P31,O31,N31,M31)*P103/365</f>
        <v>-295.52767953403605</v>
      </c>
      <c r="Q86" s="524">
        <f t="shared" ref="Q86:V86" si="28">-Q31*Q103/365</f>
        <v>-295.52767953403611</v>
      </c>
      <c r="R86" s="525">
        <f t="shared" si="28"/>
        <v>-309.19366613221058</v>
      </c>
      <c r="S86" s="526">
        <f t="shared" si="28"/>
        <v>-325.4913870252451</v>
      </c>
      <c r="T86" s="526">
        <f t="shared" si="28"/>
        <v>-346.50151841260407</v>
      </c>
      <c r="U86" s="526">
        <f t="shared" si="28"/>
        <v>-371.62911461624714</v>
      </c>
      <c r="V86" s="526">
        <f t="shared" si="28"/>
        <v>-399.51342864692361</v>
      </c>
    </row>
    <row r="87" spans="1:22" ht="12" customHeight="1">
      <c r="B87" s="388" t="s">
        <v>286</v>
      </c>
      <c r="D87" s="550"/>
      <c r="E87" s="550"/>
      <c r="F87" s="503">
        <v>-24.85926740965861</v>
      </c>
      <c r="G87" s="503">
        <v>-21.93549844284799</v>
      </c>
      <c r="H87" s="551">
        <v>-9.9176591357213812</v>
      </c>
      <c r="I87" s="551">
        <v>-14.71796788019463</v>
      </c>
      <c r="J87" s="552">
        <v>-10.259184841714911</v>
      </c>
      <c r="K87" s="507">
        <f>L87</f>
        <v>-24.895514950854526</v>
      </c>
      <c r="L87" s="524">
        <f>(L$31+L$47)*L104</f>
        <v>-24.895514950854526</v>
      </c>
      <c r="M87" s="507">
        <f>M104*SUM(M$31,K$31,J$31,I$31,M$47,K$47,J$47,I$47)</f>
        <v>-25.106130436451668</v>
      </c>
      <c r="N87" s="507">
        <f>N104*SUM(N$31,M$31,K$31,J$31,N$47,M$47,K$47,J$47)</f>
        <v>-24.75924171556137</v>
      </c>
      <c r="O87" s="507">
        <f>O104*SUM(O$31,N$31,M$31,K$31,O$47,N$47,M$47,K$47)</f>
        <v>-25.2556500409267</v>
      </c>
      <c r="P87" s="507">
        <f>P104*SUM(P$31,O$31,N$31,M$31,P$47,O$47,N$47,M$47)</f>
        <v>-25.871844698996416</v>
      </c>
      <c r="Q87" s="524">
        <f t="shared" ref="Q87:V89" si="29">(Q$31+Q$47)*Q104</f>
        <v>-25.871844698996419</v>
      </c>
      <c r="R87" s="525">
        <f t="shared" si="29"/>
        <v>-26.805387680731911</v>
      </c>
      <c r="S87" s="526">
        <f t="shared" si="29"/>
        <v>-27.938263065212691</v>
      </c>
      <c r="T87" s="526">
        <f t="shared" si="29"/>
        <v>-29.617116182596916</v>
      </c>
      <c r="U87" s="526">
        <f t="shared" si="29"/>
        <v>-31.630799313495178</v>
      </c>
      <c r="V87" s="526">
        <f t="shared" si="29"/>
        <v>-33.86008474064797</v>
      </c>
    </row>
    <row r="88" spans="1:22" ht="12" customHeight="1">
      <c r="B88" s="388" t="s">
        <v>287</v>
      </c>
      <c r="D88" s="550"/>
      <c r="E88" s="550"/>
      <c r="F88" s="503">
        <v>-47.958314199999997</v>
      </c>
      <c r="G88" s="503">
        <v>-38.245028099999992</v>
      </c>
      <c r="H88" s="551">
        <v>-31.624070669999998</v>
      </c>
      <c r="I88" s="551">
        <v>-19.19255806</v>
      </c>
      <c r="J88" s="552">
        <v>-21.898954400000001</v>
      </c>
      <c r="K88" s="507">
        <f>L88</f>
        <v>-45.94280662515385</v>
      </c>
      <c r="L88" s="524">
        <f>(L$31+L$47)*L105</f>
        <v>-45.94280662515385</v>
      </c>
      <c r="M88" s="507">
        <f>M105*SUM(M$31,K$31,J$31,I$31,M$47,K$47,J$47,I$47)</f>
        <v>-46.331481715673327</v>
      </c>
      <c r="N88" s="507">
        <f>N105*SUM(N$31,M$31,K$31,J$31,N$47,M$47,K$47,J$47)</f>
        <v>-45.691324584729429</v>
      </c>
      <c r="O88" s="507">
        <f>O105*SUM(O$31,N$31,M$31,K$31,O$47,N$47,M$47,K$47)</f>
        <v>-46.607408937449073</v>
      </c>
      <c r="P88" s="507">
        <f>P105*SUM(P$31,O$31,N$31,M$31,P$47,O$47,N$47,M$47)</f>
        <v>-47.74454998775613</v>
      </c>
      <c r="Q88" s="524">
        <f t="shared" si="29"/>
        <v>-47.744549987756137</v>
      </c>
      <c r="R88" s="525">
        <f t="shared" si="29"/>
        <v>-49.467333580335378</v>
      </c>
      <c r="S88" s="526">
        <f t="shared" si="29"/>
        <v>-51.557970179833021</v>
      </c>
      <c r="T88" s="526">
        <f t="shared" si="29"/>
        <v>-54.65616775784185</v>
      </c>
      <c r="U88" s="526">
        <f t="shared" si="29"/>
        <v>-58.372269026276058</v>
      </c>
      <c r="V88" s="526">
        <f t="shared" si="29"/>
        <v>-62.486248170476841</v>
      </c>
    </row>
    <row r="89" spans="1:22" ht="12" customHeight="1">
      <c r="B89" s="388" t="s">
        <v>288</v>
      </c>
      <c r="C89" s="390"/>
      <c r="D89" s="553"/>
      <c r="E89" s="553"/>
      <c r="F89" s="554">
        <v>-13.756071476505189</v>
      </c>
      <c r="G89" s="554">
        <v>-14.839608419929521</v>
      </c>
      <c r="H89" s="555">
        <v>-13.230045672065049</v>
      </c>
      <c r="I89" s="555">
        <v>-15.458661640334499</v>
      </c>
      <c r="J89" s="556">
        <v>-15.0198883566083</v>
      </c>
      <c r="K89" s="557">
        <f>L89</f>
        <v>-15.159377265893836</v>
      </c>
      <c r="L89" s="558">
        <f>(L$31+L$47)*L106</f>
        <v>-15.159377265893836</v>
      </c>
      <c r="M89" s="507">
        <f>M106*SUM(M$31,K$31,J$31,I$31,M$47,K$47,J$47,I$47)</f>
        <v>-15.287625249938728</v>
      </c>
      <c r="N89" s="507">
        <f>N106*SUM(N$31,M$31,K$31,J$31,N$47,M$47,K$47,J$47)</f>
        <v>-15.076397765805932</v>
      </c>
      <c r="O89" s="507">
        <f>O106*SUM(O$31,N$31,M$31,K$31,O$47,N$47,M$47,K$47)</f>
        <v>-15.378670729309556</v>
      </c>
      <c r="P89" s="507">
        <f>P106*SUM(P$31,O$31,N$31,M$31,P$47,O$47,N$47,M$47)</f>
        <v>-15.753883987976723</v>
      </c>
      <c r="Q89" s="558">
        <f t="shared" si="29"/>
        <v>-15.753883987976726</v>
      </c>
      <c r="R89" s="559">
        <f t="shared" si="29"/>
        <v>-16.322336991740364</v>
      </c>
      <c r="S89" s="560">
        <f t="shared" si="29"/>
        <v>-17.012167484601857</v>
      </c>
      <c r="T89" s="560">
        <f t="shared" si="29"/>
        <v>-18.034454745206435</v>
      </c>
      <c r="U89" s="560">
        <f t="shared" si="29"/>
        <v>-19.260626701701966</v>
      </c>
      <c r="V89" s="560">
        <f t="shared" si="29"/>
        <v>-20.618083211048383</v>
      </c>
    </row>
    <row r="90" spans="1:22" ht="12" customHeight="1">
      <c r="B90" s="561" t="s">
        <v>289</v>
      </c>
      <c r="D90" s="550"/>
      <c r="E90" s="550"/>
      <c r="F90" s="562">
        <f>SUM(F86:F89)</f>
        <v>-340.94170788748403</v>
      </c>
      <c r="G90" s="562">
        <f>SUM(G86:G89)</f>
        <v>-364.8996223443441</v>
      </c>
      <c r="H90" s="563">
        <f>SUM(H86:H89)</f>
        <v>-281.06876569656112</v>
      </c>
      <c r="I90" s="563">
        <f>SUM(I86:I89)</f>
        <v>-274.30122230477843</v>
      </c>
      <c r="J90" s="564">
        <f>SUM(J86:J89)</f>
        <v>-254.22369276267111</v>
      </c>
      <c r="K90" s="565">
        <f>L90</f>
        <v>-372.94346034374877</v>
      </c>
      <c r="L90" s="566">
        <f t="shared" ref="L90:V90" si="30">SUM(L86:L89)</f>
        <v>-372.94346034374877</v>
      </c>
      <c r="M90" s="567">
        <f t="shared" si="30"/>
        <v>-376.14212203818397</v>
      </c>
      <c r="N90" s="567">
        <f t="shared" si="30"/>
        <v>-369.95807536167911</v>
      </c>
      <c r="O90" s="567">
        <f t="shared" si="30"/>
        <v>-377.69603641768794</v>
      </c>
      <c r="P90" s="567">
        <f t="shared" si="30"/>
        <v>-384.89795820876537</v>
      </c>
      <c r="Q90" s="566">
        <f t="shared" si="30"/>
        <v>-384.89795820876543</v>
      </c>
      <c r="R90" s="568">
        <f t="shared" si="30"/>
        <v>-401.78872438501827</v>
      </c>
      <c r="S90" s="569">
        <f t="shared" si="30"/>
        <v>-421.99978775489268</v>
      </c>
      <c r="T90" s="569">
        <f t="shared" si="30"/>
        <v>-448.8092570982493</v>
      </c>
      <c r="U90" s="569">
        <f t="shared" si="30"/>
        <v>-480.89280965772036</v>
      </c>
      <c r="V90" s="569">
        <f t="shared" si="30"/>
        <v>-516.47784476909681</v>
      </c>
    </row>
    <row r="91" spans="1:22" ht="4" customHeight="1">
      <c r="B91" s="383"/>
      <c r="K91" s="570"/>
      <c r="L91" s="571"/>
      <c r="Q91" s="571"/>
      <c r="R91" s="442"/>
      <c r="S91" s="572"/>
      <c r="T91" s="572"/>
      <c r="U91" s="572"/>
      <c r="V91" s="572"/>
    </row>
    <row r="92" spans="1:22" ht="12" customHeight="1">
      <c r="B92" s="561" t="s">
        <v>290</v>
      </c>
      <c r="C92" s="573"/>
      <c r="D92" s="574"/>
      <c r="E92" s="574"/>
      <c r="F92" s="575">
        <f t="shared" ref="F92:V92" si="31">F84+F90</f>
        <v>91.731151086194529</v>
      </c>
      <c r="G92" s="575">
        <f t="shared" si="31"/>
        <v>97.25187563433434</v>
      </c>
      <c r="H92" s="576">
        <f t="shared" si="31"/>
        <v>67.516691174020423</v>
      </c>
      <c r="I92" s="576">
        <f t="shared" si="31"/>
        <v>100.68946006373585</v>
      </c>
      <c r="J92" s="577">
        <f t="shared" si="31"/>
        <v>112.1717894693019</v>
      </c>
      <c r="K92" s="576">
        <f t="shared" si="31"/>
        <v>102.50382518128578</v>
      </c>
      <c r="L92" s="578">
        <f t="shared" si="31"/>
        <v>102.50382518128578</v>
      </c>
      <c r="M92" s="579">
        <f t="shared" si="31"/>
        <v>104.02431037303927</v>
      </c>
      <c r="N92" s="579">
        <f t="shared" si="31"/>
        <v>102.19350229673438</v>
      </c>
      <c r="O92" s="579">
        <f t="shared" si="31"/>
        <v>105.34543473898134</v>
      </c>
      <c r="P92" s="579">
        <f t="shared" si="31"/>
        <v>107.62544507932279</v>
      </c>
      <c r="Q92" s="580">
        <f t="shared" si="31"/>
        <v>107.62544507932273</v>
      </c>
      <c r="R92" s="581">
        <f t="shared" si="31"/>
        <v>114.00979586362399</v>
      </c>
      <c r="S92" s="582">
        <f t="shared" si="31"/>
        <v>121.09590719751958</v>
      </c>
      <c r="T92" s="582">
        <f t="shared" si="31"/>
        <v>129.24526306909661</v>
      </c>
      <c r="U92" s="582">
        <f t="shared" si="31"/>
        <v>138.88597148279428</v>
      </c>
      <c r="V92" s="582">
        <f t="shared" si="31"/>
        <v>149.59568275358117</v>
      </c>
    </row>
    <row r="93" spans="1:22" ht="12" customHeight="1">
      <c r="A93" s="464"/>
      <c r="B93" s="493" t="s">
        <v>291</v>
      </c>
      <c r="C93" s="466"/>
      <c r="D93" s="583"/>
      <c r="E93" s="583"/>
      <c r="F93" s="473">
        <f>F92/F$23</f>
        <v>8.1455357388554792E-2</v>
      </c>
      <c r="G93" s="473">
        <f>G92/G$23</f>
        <v>8.0041273472179847E-2</v>
      </c>
      <c r="H93" s="584"/>
      <c r="I93" s="584"/>
      <c r="J93" s="585"/>
      <c r="K93" s="584"/>
      <c r="L93" s="474">
        <f>(L92)/SUM(K$23,J$23,I$23,H$23)</f>
        <v>8.241847852264729E-2</v>
      </c>
      <c r="M93" s="494">
        <f>(M92)/SUM(M$23,K$23,J$23,I$23)</f>
        <v>8.2818992331954819E-2</v>
      </c>
      <c r="N93" s="494">
        <f>(N92)/SUM(N$23,M$23,K$23,J$23)</f>
        <v>8.2742517562226794E-2</v>
      </c>
      <c r="O93" s="494">
        <f>(O92)/SUM(O$23,N$23,M$23,K$23)</f>
        <v>8.3371611119545663E-2</v>
      </c>
      <c r="P93" s="494">
        <f>(P92)/SUM(P$23,O$23,N$23,M$23)</f>
        <v>8.3536251138428927E-2</v>
      </c>
      <c r="Q93" s="474">
        <f t="shared" ref="Q93:V93" si="32">(Q92)/Q23</f>
        <v>8.3536251138428885E-2</v>
      </c>
      <c r="R93" s="473">
        <f t="shared" si="32"/>
        <v>8.4498494057103968E-2</v>
      </c>
      <c r="S93" s="475">
        <f t="shared" si="32"/>
        <v>8.5239324162841301E-2</v>
      </c>
      <c r="T93" s="475">
        <f t="shared" si="32"/>
        <v>8.5473743672860272E-2</v>
      </c>
      <c r="U93" s="475">
        <f t="shared" si="32"/>
        <v>8.5666016038610557E-2</v>
      </c>
      <c r="V93" s="475">
        <f t="shared" si="32"/>
        <v>8.5858595449726155E-2</v>
      </c>
    </row>
    <row r="94" spans="1:22" ht="12" customHeight="1">
      <c r="A94" s="464"/>
      <c r="B94" s="493"/>
      <c r="C94" s="466"/>
      <c r="D94" s="583"/>
      <c r="E94" s="583"/>
      <c r="F94" s="473"/>
      <c r="G94" s="473"/>
      <c r="H94" s="584"/>
      <c r="I94" s="584"/>
      <c r="J94" s="585"/>
      <c r="K94" s="584"/>
      <c r="L94" s="474"/>
      <c r="M94" s="494"/>
      <c r="N94" s="494"/>
      <c r="O94" s="494"/>
      <c r="P94" s="494"/>
      <c r="Q94" s="474"/>
      <c r="R94" s="473"/>
      <c r="S94" s="475"/>
      <c r="T94" s="475"/>
      <c r="U94" s="475"/>
      <c r="V94" s="475"/>
    </row>
    <row r="95" spans="1:22" s="488" customFormat="1" ht="12" customHeight="1">
      <c r="B95" s="586" t="s">
        <v>292</v>
      </c>
      <c r="D95" s="583"/>
      <c r="E95" s="583"/>
      <c r="F95" s="583"/>
      <c r="G95" s="587">
        <f>F92-G92</f>
        <v>-5.5207245481398104</v>
      </c>
      <c r="H95" s="511"/>
      <c r="I95" s="511"/>
      <c r="J95" s="512"/>
      <c r="K95" s="511"/>
      <c r="L95" s="513">
        <f>G92-L92</f>
        <v>-5.2519495469514368</v>
      </c>
      <c r="M95" s="511">
        <f>L92-M92</f>
        <v>-1.5204851917534938</v>
      </c>
      <c r="N95" s="511">
        <f>M92-N92</f>
        <v>1.8308080763048906</v>
      </c>
      <c r="O95" s="511">
        <f>N92-O92</f>
        <v>-3.1519324422469595</v>
      </c>
      <c r="P95" s="511">
        <f>O92-P92</f>
        <v>-2.2800103403414482</v>
      </c>
      <c r="Q95" s="513">
        <f>L92-Q92</f>
        <v>-5.1216198980369541</v>
      </c>
      <c r="R95" s="510">
        <f>Q92-R92</f>
        <v>-6.3843507843012617</v>
      </c>
      <c r="S95" s="588">
        <f>R92-S92</f>
        <v>-7.0861113338955874</v>
      </c>
      <c r="T95" s="588">
        <f>S92-T92</f>
        <v>-8.1493558715770291</v>
      </c>
      <c r="U95" s="588">
        <f>T92-U92</f>
        <v>-9.6407084136976664</v>
      </c>
      <c r="V95" s="588">
        <f>U92-V92</f>
        <v>-10.709711270786897</v>
      </c>
    </row>
    <row r="96" spans="1:22" ht="12" customHeight="1">
      <c r="B96" s="586" t="s">
        <v>293</v>
      </c>
      <c r="D96" s="550"/>
      <c r="E96" s="550"/>
      <c r="F96" s="550"/>
      <c r="G96" s="589"/>
      <c r="H96" s="590"/>
      <c r="I96" s="590"/>
      <c r="J96" s="591"/>
      <c r="K96" s="590"/>
      <c r="L96" s="592"/>
      <c r="M96" s="590"/>
      <c r="N96" s="590"/>
      <c r="O96" s="590"/>
      <c r="P96" s="590"/>
      <c r="Q96" s="592"/>
      <c r="R96" s="589"/>
      <c r="S96" s="593"/>
      <c r="T96" s="593"/>
      <c r="U96" s="593"/>
      <c r="V96" s="593"/>
    </row>
    <row r="97" spans="2:22" s="488" customFormat="1" ht="12" customHeight="1">
      <c r="B97" s="594" t="s">
        <v>294</v>
      </c>
      <c r="C97" s="595"/>
      <c r="D97" s="596"/>
      <c r="E97" s="596"/>
      <c r="F97" s="596"/>
      <c r="G97" s="597">
        <f t="shared" ref="G97:V97" si="33">SUM(G95:G96)</f>
        <v>-5.5207245481398104</v>
      </c>
      <c r="H97" s="598">
        <f t="shared" si="33"/>
        <v>0</v>
      </c>
      <c r="I97" s="598">
        <f t="shared" si="33"/>
        <v>0</v>
      </c>
      <c r="J97" s="599">
        <f t="shared" si="33"/>
        <v>0</v>
      </c>
      <c r="K97" s="598">
        <f t="shared" si="33"/>
        <v>0</v>
      </c>
      <c r="L97" s="600">
        <f t="shared" si="33"/>
        <v>-5.2519495469514368</v>
      </c>
      <c r="M97" s="598">
        <f t="shared" si="33"/>
        <v>-1.5204851917534938</v>
      </c>
      <c r="N97" s="598">
        <f t="shared" si="33"/>
        <v>1.8308080763048906</v>
      </c>
      <c r="O97" s="598">
        <f t="shared" si="33"/>
        <v>-3.1519324422469595</v>
      </c>
      <c r="P97" s="598">
        <f t="shared" si="33"/>
        <v>-2.2800103403414482</v>
      </c>
      <c r="Q97" s="600">
        <f t="shared" si="33"/>
        <v>-5.1216198980369541</v>
      </c>
      <c r="R97" s="601">
        <f t="shared" si="33"/>
        <v>-6.3843507843012617</v>
      </c>
      <c r="S97" s="602">
        <f t="shared" si="33"/>
        <v>-7.0861113338955874</v>
      </c>
      <c r="T97" s="602">
        <f t="shared" si="33"/>
        <v>-8.1493558715770291</v>
      </c>
      <c r="U97" s="602">
        <f t="shared" si="33"/>
        <v>-9.6407084136976664</v>
      </c>
      <c r="V97" s="602">
        <f t="shared" si="33"/>
        <v>-10.709711270786897</v>
      </c>
    </row>
    <row r="98" spans="2:22" ht="4" customHeight="1">
      <c r="K98" s="570"/>
      <c r="L98" s="603"/>
      <c r="Q98" s="603"/>
      <c r="S98" s="604"/>
      <c r="T98" s="604"/>
      <c r="U98" s="604"/>
      <c r="V98" s="604"/>
    </row>
    <row r="99" spans="2:22" ht="12" customHeight="1">
      <c r="B99" s="384" t="s">
        <v>295</v>
      </c>
      <c r="D99" s="550"/>
      <c r="E99" s="550"/>
      <c r="F99" s="605">
        <f>365*(F81/F$23)</f>
        <v>120.77851345363678</v>
      </c>
      <c r="G99" s="605">
        <f>365*(G81/G$23)</f>
        <v>122.56207744660712</v>
      </c>
      <c r="H99" s="606">
        <f>90*(H81/H$23)</f>
        <v>96.453544725358967</v>
      </c>
      <c r="I99" s="606">
        <f>90*(I81/I$23)</f>
        <v>91.779953225604231</v>
      </c>
      <c r="J99" s="607">
        <f>90*(J81/J$23)</f>
        <v>97.239973010434383</v>
      </c>
      <c r="K99" s="608">
        <f>L99</f>
        <v>121.67029545012196</v>
      </c>
      <c r="L99" s="609">
        <f>AVERAGE(F99,G99)</f>
        <v>121.67029545012196</v>
      </c>
      <c r="M99" s="610">
        <f>Q99</f>
        <v>121.67029545012196</v>
      </c>
      <c r="N99" s="610">
        <f>Q99</f>
        <v>121.67029545012196</v>
      </c>
      <c r="O99" s="610">
        <f>Q99</f>
        <v>121.67029545012196</v>
      </c>
      <c r="P99" s="610">
        <f>Q99</f>
        <v>121.67029545012196</v>
      </c>
      <c r="Q99" s="611">
        <f t="shared" ref="Q99:V101" si="34">$L99</f>
        <v>121.67029545012196</v>
      </c>
      <c r="R99" s="612">
        <f t="shared" si="34"/>
        <v>121.67029545012196</v>
      </c>
      <c r="S99" s="613">
        <f t="shared" si="34"/>
        <v>121.67029545012196</v>
      </c>
      <c r="T99" s="613">
        <f t="shared" si="34"/>
        <v>121.67029545012196</v>
      </c>
      <c r="U99" s="613">
        <f t="shared" si="34"/>
        <v>121.67029545012196</v>
      </c>
      <c r="V99" s="613">
        <f t="shared" si="34"/>
        <v>121.67029545012196</v>
      </c>
    </row>
    <row r="100" spans="2:22" ht="12" customHeight="1">
      <c r="B100" s="384" t="s">
        <v>296</v>
      </c>
      <c r="D100" s="550"/>
      <c r="E100" s="550"/>
      <c r="F100" s="445">
        <f>F82/F$23</f>
        <v>2.0554321041323664E-2</v>
      </c>
      <c r="G100" s="445">
        <f>G82/G$23</f>
        <v>1.8812414687605198E-2</v>
      </c>
      <c r="H100" s="496">
        <f t="shared" ref="H100:J101" si="35">H82/H$23/4</f>
        <v>8.1020575624800618E-3</v>
      </c>
      <c r="I100" s="496">
        <f t="shared" si="35"/>
        <v>5.6626598548212828E-3</v>
      </c>
      <c r="J100" s="614">
        <f t="shared" si="35"/>
        <v>1.813563045022254E-2</v>
      </c>
      <c r="K100" s="496">
        <f>L100</f>
        <v>1.9683367864464431E-2</v>
      </c>
      <c r="L100" s="461">
        <f>AVERAGE(F100,G100)</f>
        <v>1.9683367864464431E-2</v>
      </c>
      <c r="M100" s="496">
        <f>Q100</f>
        <v>1.9683367864464431E-2</v>
      </c>
      <c r="N100" s="496">
        <f>Q100</f>
        <v>1.9683367864464431E-2</v>
      </c>
      <c r="O100" s="496">
        <f>Q100</f>
        <v>1.9683367864464431E-2</v>
      </c>
      <c r="P100" s="496">
        <f>Q100</f>
        <v>1.9683367864464431E-2</v>
      </c>
      <c r="Q100" s="448">
        <f t="shared" si="34"/>
        <v>1.9683367864464431E-2</v>
      </c>
      <c r="R100" s="445">
        <f t="shared" si="34"/>
        <v>1.9683367864464431E-2</v>
      </c>
      <c r="S100" s="615">
        <f t="shared" si="34"/>
        <v>1.9683367864464431E-2</v>
      </c>
      <c r="T100" s="615">
        <f t="shared" si="34"/>
        <v>1.9683367864464431E-2</v>
      </c>
      <c r="U100" s="615">
        <f t="shared" si="34"/>
        <v>1.9683367864464431E-2</v>
      </c>
      <c r="V100" s="615">
        <f t="shared" si="34"/>
        <v>1.9683367864464431E-2</v>
      </c>
    </row>
    <row r="101" spans="2:22" ht="12" customHeight="1">
      <c r="B101" s="384" t="s">
        <v>297</v>
      </c>
      <c r="D101" s="550"/>
      <c r="E101" s="550"/>
      <c r="F101" s="445">
        <f>F83/F$23</f>
        <v>3.2750156516887181E-2</v>
      </c>
      <c r="G101" s="445">
        <f>G83/G$23</f>
        <v>2.576591504980822E-2</v>
      </c>
      <c r="H101" s="496">
        <f t="shared" si="35"/>
        <v>3.1284981571030837E-2</v>
      </c>
      <c r="I101" s="496">
        <f t="shared" si="35"/>
        <v>2.6790203968732704E-2</v>
      </c>
      <c r="J101" s="614">
        <f t="shared" si="35"/>
        <v>3.1762821887639181E-2</v>
      </c>
      <c r="K101" s="496">
        <f>L101</f>
        <v>2.9258035783347701E-2</v>
      </c>
      <c r="L101" s="461">
        <f>AVERAGE(F101,G101)</f>
        <v>2.9258035783347701E-2</v>
      </c>
      <c r="M101" s="496">
        <f>Q101</f>
        <v>2.9258035783347701E-2</v>
      </c>
      <c r="N101" s="496">
        <f>Q101</f>
        <v>2.9258035783347701E-2</v>
      </c>
      <c r="O101" s="496">
        <f>Q101</f>
        <v>2.9258035783347701E-2</v>
      </c>
      <c r="P101" s="496">
        <f>Q101</f>
        <v>2.9258035783347701E-2</v>
      </c>
      <c r="Q101" s="448">
        <f t="shared" si="34"/>
        <v>2.9258035783347701E-2</v>
      </c>
      <c r="R101" s="445">
        <f t="shared" si="34"/>
        <v>2.9258035783347701E-2</v>
      </c>
      <c r="S101" s="615">
        <f t="shared" si="34"/>
        <v>2.9258035783347701E-2</v>
      </c>
      <c r="T101" s="615">
        <f t="shared" si="34"/>
        <v>2.9258035783347701E-2</v>
      </c>
      <c r="U101" s="615">
        <f t="shared" si="34"/>
        <v>2.9258035783347701E-2</v>
      </c>
      <c r="V101" s="615">
        <f t="shared" si="34"/>
        <v>2.9258035783347701E-2</v>
      </c>
    </row>
    <row r="102" spans="2:22" ht="4" customHeight="1">
      <c r="K102" s="570"/>
      <c r="L102" s="616"/>
      <c r="Q102" s="571"/>
      <c r="R102" s="442"/>
      <c r="S102" s="572"/>
      <c r="T102" s="572"/>
      <c r="U102" s="572"/>
      <c r="V102" s="572"/>
    </row>
    <row r="103" spans="2:22" ht="12" customHeight="1">
      <c r="B103" s="384" t="s">
        <v>298</v>
      </c>
      <c r="F103" s="605">
        <f>365*(-F86/F31)</f>
        <v>101.42789136530628</v>
      </c>
      <c r="G103" s="605">
        <f>365*(-G86/G31)</f>
        <v>107.74409392045439</v>
      </c>
      <c r="H103" s="606">
        <f>90*(-H86/H31)</f>
        <v>89.222634024974056</v>
      </c>
      <c r="I103" s="606">
        <f>90*(-I86/I31)</f>
        <v>77.341796999636301</v>
      </c>
      <c r="J103" s="607">
        <f>90*(-J86/J31)</f>
        <v>80.693145739719483</v>
      </c>
      <c r="K103" s="608">
        <f>L103</f>
        <v>104.58599264288034</v>
      </c>
      <c r="L103" s="609">
        <f>AVERAGE(F103,G103)</f>
        <v>104.58599264288034</v>
      </c>
      <c r="M103" s="610">
        <f>Q103</f>
        <v>104.58599264288034</v>
      </c>
      <c r="N103" s="610">
        <f>Q103</f>
        <v>104.58599264288034</v>
      </c>
      <c r="O103" s="610">
        <f>Q103</f>
        <v>104.58599264288034</v>
      </c>
      <c r="P103" s="610">
        <f>Q103</f>
        <v>104.58599264288034</v>
      </c>
      <c r="Q103" s="617">
        <f t="shared" ref="Q103:V106" si="36">$L103</f>
        <v>104.58599264288034</v>
      </c>
      <c r="R103" s="618">
        <f t="shared" si="36"/>
        <v>104.58599264288034</v>
      </c>
      <c r="S103" s="619">
        <f t="shared" si="36"/>
        <v>104.58599264288034</v>
      </c>
      <c r="T103" s="619">
        <f t="shared" si="36"/>
        <v>104.58599264288034</v>
      </c>
      <c r="U103" s="619">
        <f t="shared" si="36"/>
        <v>104.58599264288034</v>
      </c>
      <c r="V103" s="619">
        <f t="shared" si="36"/>
        <v>104.58599264288034</v>
      </c>
    </row>
    <row r="104" spans="2:22" ht="12" customHeight="1">
      <c r="B104" s="384" t="s">
        <v>299</v>
      </c>
      <c r="D104" s="550"/>
      <c r="E104" s="550"/>
      <c r="F104" s="445">
        <f t="shared" ref="F104:G106" si="37">F87/(F$31+F$47)</f>
        <v>-2.3458581156316386E-2</v>
      </c>
      <c r="G104" s="445">
        <f t="shared" si="37"/>
        <v>-1.9283734737739564E-2</v>
      </c>
      <c r="H104" s="496">
        <f t="shared" ref="H104:J106" si="38">H87/(H$31+H$47)/4</f>
        <v>-9.2064056050218356E-3</v>
      </c>
      <c r="I104" s="496">
        <f t="shared" si="38"/>
        <v>-1.2142079548306496E-2</v>
      </c>
      <c r="J104" s="614">
        <f t="shared" si="38"/>
        <v>-9.4121597722623233E-3</v>
      </c>
      <c r="K104" s="496">
        <f>L104</f>
        <v>-2.1371157947027975E-2</v>
      </c>
      <c r="L104" s="461">
        <f>AVERAGE(F104,G104)</f>
        <v>-2.1371157947027975E-2</v>
      </c>
      <c r="M104" s="496">
        <f>Q104</f>
        <v>-2.1371157947027975E-2</v>
      </c>
      <c r="N104" s="496">
        <f>Q104</f>
        <v>-2.1371157947027975E-2</v>
      </c>
      <c r="O104" s="496">
        <f>Q104</f>
        <v>-2.1371157947027975E-2</v>
      </c>
      <c r="P104" s="496">
        <f>Q104</f>
        <v>-2.1371157947027975E-2</v>
      </c>
      <c r="Q104" s="448">
        <f t="shared" si="36"/>
        <v>-2.1371157947027975E-2</v>
      </c>
      <c r="R104" s="445">
        <f t="shared" si="36"/>
        <v>-2.1371157947027975E-2</v>
      </c>
      <c r="S104" s="615">
        <f t="shared" si="36"/>
        <v>-2.1371157947027975E-2</v>
      </c>
      <c r="T104" s="615">
        <f t="shared" si="36"/>
        <v>-2.1371157947027975E-2</v>
      </c>
      <c r="U104" s="615">
        <f t="shared" si="36"/>
        <v>-2.1371157947027975E-2</v>
      </c>
      <c r="V104" s="615">
        <f t="shared" si="36"/>
        <v>-2.1371157947027975E-2</v>
      </c>
    </row>
    <row r="105" spans="2:22" ht="12" customHeight="1">
      <c r="B105" s="384" t="s">
        <v>300</v>
      </c>
      <c r="D105" s="550"/>
      <c r="E105" s="550"/>
      <c r="F105" s="445">
        <f t="shared" si="37"/>
        <v>-4.5256120674887997E-2</v>
      </c>
      <c r="G105" s="445">
        <f t="shared" si="37"/>
        <v>-3.3621619259728189E-2</v>
      </c>
      <c r="H105" s="496">
        <f t="shared" si="38"/>
        <v>-2.9356123000966364E-2</v>
      </c>
      <c r="I105" s="496">
        <f t="shared" si="38"/>
        <v>-1.5833542279542555E-2</v>
      </c>
      <c r="J105" s="614">
        <f t="shared" si="38"/>
        <v>-2.0090919584584938E-2</v>
      </c>
      <c r="K105" s="496">
        <f>L105</f>
        <v>-3.9438869967308096E-2</v>
      </c>
      <c r="L105" s="461">
        <f>AVERAGE(F105,G105)</f>
        <v>-3.9438869967308096E-2</v>
      </c>
      <c r="M105" s="496">
        <f>Q105</f>
        <v>-3.9438869967308096E-2</v>
      </c>
      <c r="N105" s="496">
        <f>Q105</f>
        <v>-3.9438869967308096E-2</v>
      </c>
      <c r="O105" s="496">
        <f>Q105</f>
        <v>-3.9438869967308096E-2</v>
      </c>
      <c r="P105" s="496">
        <f>Q105</f>
        <v>-3.9438869967308096E-2</v>
      </c>
      <c r="Q105" s="448">
        <f t="shared" si="36"/>
        <v>-3.9438869967308096E-2</v>
      </c>
      <c r="R105" s="445">
        <f t="shared" si="36"/>
        <v>-3.9438869967308096E-2</v>
      </c>
      <c r="S105" s="615">
        <f t="shared" si="36"/>
        <v>-3.9438869967308096E-2</v>
      </c>
      <c r="T105" s="615">
        <f t="shared" si="36"/>
        <v>-3.9438869967308096E-2</v>
      </c>
      <c r="U105" s="615">
        <f t="shared" si="36"/>
        <v>-3.9438869967308096E-2</v>
      </c>
      <c r="V105" s="615">
        <f t="shared" si="36"/>
        <v>-3.9438869967308096E-2</v>
      </c>
    </row>
    <row r="106" spans="2:22" ht="12" customHeight="1">
      <c r="B106" s="384" t="s">
        <v>301</v>
      </c>
      <c r="D106" s="550"/>
      <c r="E106" s="550"/>
      <c r="F106" s="445">
        <f t="shared" si="37"/>
        <v>-1.2980990702819651E-2</v>
      </c>
      <c r="G106" s="445">
        <f t="shared" si="37"/>
        <v>-1.3045660809916546E-2</v>
      </c>
      <c r="H106" s="496">
        <f t="shared" si="38"/>
        <v>-1.228124146667752E-2</v>
      </c>
      <c r="I106" s="496">
        <f t="shared" si="38"/>
        <v>-1.2753139623295164E-2</v>
      </c>
      <c r="J106" s="614">
        <f t="shared" si="38"/>
        <v>-1.3779807183034317E-2</v>
      </c>
      <c r="K106" s="496">
        <f>L106</f>
        <v>-1.3013325756368099E-2</v>
      </c>
      <c r="L106" s="461">
        <f>AVERAGE(F106,G106)</f>
        <v>-1.3013325756368099E-2</v>
      </c>
      <c r="M106" s="496">
        <f>Q106</f>
        <v>-1.3013325756368099E-2</v>
      </c>
      <c r="N106" s="496">
        <f>Q106</f>
        <v>-1.3013325756368099E-2</v>
      </c>
      <c r="O106" s="496">
        <f>Q106</f>
        <v>-1.3013325756368099E-2</v>
      </c>
      <c r="P106" s="496">
        <f>Q106</f>
        <v>-1.3013325756368099E-2</v>
      </c>
      <c r="Q106" s="448">
        <f t="shared" si="36"/>
        <v>-1.3013325756368099E-2</v>
      </c>
      <c r="R106" s="445">
        <f t="shared" si="36"/>
        <v>-1.3013325756368099E-2</v>
      </c>
      <c r="S106" s="615">
        <f t="shared" si="36"/>
        <v>-1.3013325756368099E-2</v>
      </c>
      <c r="T106" s="615">
        <f t="shared" si="36"/>
        <v>-1.3013325756368099E-2</v>
      </c>
      <c r="U106" s="615">
        <f t="shared" si="36"/>
        <v>-1.3013325756368099E-2</v>
      </c>
      <c r="V106" s="615">
        <f t="shared" si="36"/>
        <v>-1.3013325756368099E-2</v>
      </c>
    </row>
    <row r="107" spans="2:22" ht="4" customHeight="1"/>
    <row r="108" spans="2:22" ht="12" customHeight="1">
      <c r="B108" s="389" t="s">
        <v>302</v>
      </c>
      <c r="C108" s="390"/>
      <c r="D108" s="390"/>
      <c r="E108" s="390"/>
      <c r="F108" s="390"/>
      <c r="G108" s="390"/>
      <c r="H108" s="391"/>
      <c r="I108" s="391"/>
      <c r="J108" s="392"/>
      <c r="K108" s="391"/>
      <c r="L108" s="393"/>
      <c r="M108" s="391"/>
      <c r="N108" s="391"/>
      <c r="O108" s="391"/>
      <c r="P108" s="391"/>
      <c r="Q108" s="393"/>
      <c r="R108" s="390"/>
      <c r="S108" s="390"/>
      <c r="T108" s="390"/>
      <c r="U108" s="390"/>
      <c r="V108" s="390"/>
    </row>
    <row r="109" spans="2:22" ht="4" customHeight="1">
      <c r="B109" s="620"/>
      <c r="L109" s="603"/>
    </row>
    <row r="110" spans="2:22" ht="12" customHeight="1">
      <c r="B110" s="621" t="s">
        <v>303</v>
      </c>
      <c r="D110" s="503">
        <v>-11.79405203542</v>
      </c>
      <c r="E110" s="503">
        <v>-10.066015480000001</v>
      </c>
      <c r="F110" s="503">
        <v>-6.1722098900000004</v>
      </c>
      <c r="G110" s="503">
        <v>-10.43178445</v>
      </c>
      <c r="H110" s="528"/>
      <c r="I110" s="528"/>
      <c r="J110" s="529"/>
      <c r="K110" s="528"/>
      <c r="L110" s="504">
        <v>-19.703431342958559</v>
      </c>
      <c r="M110" s="507">
        <f t="shared" ref="M110:P111" si="39">-M113*M$28</f>
        <v>-3.1139775111737329</v>
      </c>
      <c r="N110" s="507">
        <f t="shared" si="39"/>
        <v>-3.2119525262059323</v>
      </c>
      <c r="O110" s="507">
        <f t="shared" si="39"/>
        <v>-3.3118635752714396</v>
      </c>
      <c r="P110" s="507">
        <f t="shared" si="39"/>
        <v>-3.9197840748567292</v>
      </c>
      <c r="Q110" s="524">
        <f t="shared" ref="Q110:V111" si="40">-Q$28*Q113</f>
        <v>-13.557577687507836</v>
      </c>
      <c r="R110" s="525">
        <f t="shared" si="40"/>
        <v>-14.198266443152548</v>
      </c>
      <c r="S110" s="526">
        <f t="shared" si="40"/>
        <v>-14.949669451060709</v>
      </c>
      <c r="T110" s="526">
        <f t="shared" si="40"/>
        <v>-15.91197293867436</v>
      </c>
      <c r="U110" s="526">
        <f t="shared" si="40"/>
        <v>-17.060507009991792</v>
      </c>
      <c r="V110" s="526">
        <f t="shared" si="40"/>
        <v>-18.334851774950156</v>
      </c>
    </row>
    <row r="111" spans="2:22" ht="12" customHeight="1">
      <c r="B111" s="622" t="s">
        <v>304</v>
      </c>
      <c r="C111" s="390"/>
      <c r="D111" s="554">
        <v>-2.3803011999999999</v>
      </c>
      <c r="E111" s="554">
        <v>-3.8048435400000011</v>
      </c>
      <c r="F111" s="554">
        <v>-7.9705634399999994</v>
      </c>
      <c r="G111" s="554">
        <v>-13.140452229999999</v>
      </c>
      <c r="H111" s="623"/>
      <c r="I111" s="623"/>
      <c r="J111" s="624"/>
      <c r="K111" s="623"/>
      <c r="L111" s="625">
        <v>-5.6885269734881101</v>
      </c>
      <c r="M111" s="557">
        <f t="shared" si="39"/>
        <v>-1.7361972930104659</v>
      </c>
      <c r="N111" s="557">
        <f t="shared" si="39"/>
        <v>-1.7908232353209641</v>
      </c>
      <c r="O111" s="557">
        <f t="shared" si="39"/>
        <v>-1.8465286128668623</v>
      </c>
      <c r="P111" s="557">
        <f t="shared" si="39"/>
        <v>-2.1854745178897019</v>
      </c>
      <c r="Q111" s="558">
        <f t="shared" si="40"/>
        <v>-7.5590236590879947</v>
      </c>
      <c r="R111" s="559">
        <f t="shared" si="40"/>
        <v>-7.9162394961392133</v>
      </c>
      <c r="S111" s="560">
        <f t="shared" si="40"/>
        <v>-8.3351840336668275</v>
      </c>
      <c r="T111" s="560">
        <f t="shared" si="40"/>
        <v>-8.8717160748438388</v>
      </c>
      <c r="U111" s="560">
        <f t="shared" si="40"/>
        <v>-9.5120809260337875</v>
      </c>
      <c r="V111" s="560">
        <f t="shared" si="40"/>
        <v>-10.222591494380449</v>
      </c>
    </row>
    <row r="112" spans="2:22" ht="12" customHeight="1">
      <c r="B112" s="626" t="s">
        <v>305</v>
      </c>
      <c r="C112" s="573"/>
      <c r="D112" s="627">
        <v>-14.17435323542</v>
      </c>
      <c r="E112" s="627">
        <v>-13.870859019999999</v>
      </c>
      <c r="F112" s="627">
        <v>-14.142773330000001</v>
      </c>
      <c r="G112" s="627">
        <v>-23.57223668</v>
      </c>
      <c r="H112" s="628"/>
      <c r="I112" s="628"/>
      <c r="J112" s="629"/>
      <c r="K112" s="628"/>
      <c r="L112" s="630">
        <v>-25.391958316446669</v>
      </c>
      <c r="M112" s="631">
        <f t="shared" ref="M112:V112" si="41">SUM(M110:M111)</f>
        <v>-4.8501748041841992</v>
      </c>
      <c r="N112" s="631">
        <f t="shared" si="41"/>
        <v>-5.0027757615268964</v>
      </c>
      <c r="O112" s="631">
        <f t="shared" si="41"/>
        <v>-5.1583921881383024</v>
      </c>
      <c r="P112" s="631">
        <f t="shared" si="41"/>
        <v>-6.1052585927464307</v>
      </c>
      <c r="Q112" s="632">
        <f t="shared" si="41"/>
        <v>-21.116601346595829</v>
      </c>
      <c r="R112" s="633">
        <f t="shared" si="41"/>
        <v>-22.11450593929176</v>
      </c>
      <c r="S112" s="634">
        <f t="shared" si="41"/>
        <v>-23.284853484727535</v>
      </c>
      <c r="T112" s="634">
        <f t="shared" si="41"/>
        <v>-24.783689013518199</v>
      </c>
      <c r="U112" s="634">
        <f t="shared" si="41"/>
        <v>-26.572587936025577</v>
      </c>
      <c r="V112" s="634">
        <f t="shared" si="41"/>
        <v>-28.557443269330605</v>
      </c>
    </row>
    <row r="113" spans="1:22" ht="12" customHeight="1">
      <c r="B113" s="635" t="s">
        <v>306</v>
      </c>
      <c r="D113" s="473">
        <f t="shared" ref="D113:G115" si="42">-D110/D$28</f>
        <v>1.3214659415942253E-2</v>
      </c>
      <c r="E113" s="473">
        <f t="shared" si="42"/>
        <v>1.1116921611083718E-2</v>
      </c>
      <c r="F113" s="473">
        <f t="shared" si="42"/>
        <v>5.4807942178192884E-3</v>
      </c>
      <c r="G113" s="473">
        <f t="shared" si="42"/>
        <v>8.5856782351917908E-3</v>
      </c>
      <c r="H113" s="494"/>
      <c r="I113" s="494"/>
      <c r="J113" s="495"/>
      <c r="K113" s="494"/>
      <c r="L113" s="474">
        <f>-L110/L$28</f>
        <v>1.5842597386878474E-2</v>
      </c>
      <c r="M113" s="496">
        <f>Q113</f>
        <v>1.0523061843764701E-2</v>
      </c>
      <c r="N113" s="496">
        <f>Q113</f>
        <v>1.0523061843764701E-2</v>
      </c>
      <c r="O113" s="496">
        <f>Q113</f>
        <v>1.0523061843764701E-2</v>
      </c>
      <c r="P113" s="496">
        <f>Q113</f>
        <v>1.0523061843764701E-2</v>
      </c>
      <c r="Q113" s="461">
        <f t="shared" ref="Q113:V113" si="43">IF($C$62=0,1.05230618437647%,1.05230618437647%-0%)</f>
        <v>1.0523061843764701E-2</v>
      </c>
      <c r="R113" s="460">
        <f t="shared" si="43"/>
        <v>1.0523061843764701E-2</v>
      </c>
      <c r="S113" s="482">
        <f t="shared" si="43"/>
        <v>1.0523061843764701E-2</v>
      </c>
      <c r="T113" s="482">
        <f t="shared" si="43"/>
        <v>1.0523061843764701E-2</v>
      </c>
      <c r="U113" s="482">
        <f t="shared" si="43"/>
        <v>1.0523061843764701E-2</v>
      </c>
      <c r="V113" s="482">
        <f t="shared" si="43"/>
        <v>1.0523061843764701E-2</v>
      </c>
    </row>
    <row r="114" spans="1:22" ht="12" customHeight="1">
      <c r="B114" s="635" t="s">
        <v>307</v>
      </c>
      <c r="D114" s="473">
        <f t="shared" si="42"/>
        <v>2.6670112672805839E-3</v>
      </c>
      <c r="E114" s="473">
        <f t="shared" si="42"/>
        <v>4.2020745408806277E-3</v>
      </c>
      <c r="F114" s="473">
        <f t="shared" si="42"/>
        <v>7.0776948278267011E-3</v>
      </c>
      <c r="G114" s="473">
        <f t="shared" si="42"/>
        <v>1.081499481248277E-2</v>
      </c>
      <c r="H114" s="494"/>
      <c r="I114" s="494"/>
      <c r="J114" s="495"/>
      <c r="K114" s="494"/>
      <c r="L114" s="474">
        <f>-L111/L$28</f>
        <v>4.5738755345056748E-3</v>
      </c>
      <c r="M114" s="496">
        <f>Q114</f>
        <v>5.8671301965952712E-3</v>
      </c>
      <c r="N114" s="496">
        <f>Q114</f>
        <v>5.8671301965952712E-3</v>
      </c>
      <c r="O114" s="496">
        <f>Q114</f>
        <v>5.8671301965952712E-3</v>
      </c>
      <c r="P114" s="496">
        <f>Q114</f>
        <v>5.8671301965952712E-3</v>
      </c>
      <c r="Q114" s="461">
        <v>5.8671301965952712E-3</v>
      </c>
      <c r="R114" s="460">
        <v>5.8671301965952712E-3</v>
      </c>
      <c r="S114" s="482">
        <v>5.8671301965952712E-3</v>
      </c>
      <c r="T114" s="482">
        <v>5.8671301965952712E-3</v>
      </c>
      <c r="U114" s="482">
        <v>5.8671301965952712E-3</v>
      </c>
      <c r="V114" s="482">
        <v>5.8671301965952712E-3</v>
      </c>
    </row>
    <row r="115" spans="1:22" ht="12" customHeight="1">
      <c r="B115" s="488" t="s">
        <v>308</v>
      </c>
      <c r="D115" s="473">
        <f t="shared" si="42"/>
        <v>1.5881670683222836E-2</v>
      </c>
      <c r="E115" s="473">
        <f t="shared" si="42"/>
        <v>1.5318996151964344E-2</v>
      </c>
      <c r="F115" s="473">
        <f t="shared" si="42"/>
        <v>1.255848904564599E-2</v>
      </c>
      <c r="G115" s="473">
        <f t="shared" si="42"/>
        <v>1.9400673047674562E-2</v>
      </c>
      <c r="H115" s="494"/>
      <c r="I115" s="494"/>
      <c r="J115" s="495"/>
      <c r="K115" s="494"/>
      <c r="L115" s="474">
        <f>-L112/L$28</f>
        <v>2.0416472921384148E-2</v>
      </c>
      <c r="M115" s="496">
        <f>Q115</f>
        <v>1.639019204035997E-2</v>
      </c>
      <c r="N115" s="496">
        <f>Q115</f>
        <v>1.639019204035997E-2</v>
      </c>
      <c r="O115" s="496">
        <f>Q115</f>
        <v>1.639019204035997E-2</v>
      </c>
      <c r="P115" s="496">
        <f>Q115</f>
        <v>1.639019204035997E-2</v>
      </c>
      <c r="Q115" s="448">
        <f t="shared" ref="Q115:V115" si="44">-Q112/Q$28</f>
        <v>1.639019204035997E-2</v>
      </c>
      <c r="R115" s="445">
        <f t="shared" si="44"/>
        <v>1.639019204035997E-2</v>
      </c>
      <c r="S115" s="615">
        <f t="shared" si="44"/>
        <v>1.639019204035997E-2</v>
      </c>
      <c r="T115" s="615">
        <f t="shared" si="44"/>
        <v>1.6390192040359974E-2</v>
      </c>
      <c r="U115" s="615">
        <f t="shared" si="44"/>
        <v>1.639019204035997E-2</v>
      </c>
      <c r="V115" s="615">
        <f t="shared" si="44"/>
        <v>1.639019204035997E-2</v>
      </c>
    </row>
    <row r="116" spans="1:22" ht="4" customHeight="1">
      <c r="H116" s="636"/>
      <c r="I116" s="636"/>
      <c r="J116" s="637"/>
      <c r="K116" s="636"/>
      <c r="L116" s="539"/>
    </row>
    <row r="117" spans="1:22" ht="12" customHeight="1">
      <c r="A117" s="424" t="s">
        <v>1</v>
      </c>
    </row>
    <row r="118" spans="1:22" ht="12" customHeight="1">
      <c r="L118" s="638"/>
    </row>
    <row r="119" spans="1:22" ht="12" customHeight="1">
      <c r="L119" s="638"/>
    </row>
  </sheetData>
  <conditionalFormatting sqref="D62:K62">
    <cfRule type="expression" dxfId="31" priority="37">
      <formula>$R$4=1</formula>
    </cfRule>
    <cfRule type="expression" dxfId="30" priority="38">
      <formula>$R$4=1</formula>
    </cfRule>
  </conditionalFormatting>
  <conditionalFormatting sqref="F100:L101">
    <cfRule type="expression" dxfId="29" priority="55">
      <formula>$R$4=1</formula>
    </cfRule>
    <cfRule type="expression" dxfId="28" priority="56">
      <formula>$R$4=1</formula>
    </cfRule>
  </conditionalFormatting>
  <conditionalFormatting sqref="H12:K12">
    <cfRule type="expression" dxfId="27" priority="53">
      <formula>$R$4=1</formula>
    </cfRule>
    <cfRule type="expression" dxfId="26" priority="54">
      <formula>$R$4=1</formula>
    </cfRule>
  </conditionalFormatting>
  <conditionalFormatting sqref="H15:K15">
    <cfRule type="expression" dxfId="25" priority="51">
      <formula>$R$4=1</formula>
    </cfRule>
    <cfRule type="expression" dxfId="24" priority="52">
      <formula>$R$4=1</formula>
    </cfRule>
  </conditionalFormatting>
  <conditionalFormatting sqref="H18:K18">
    <cfRule type="expression" dxfId="23" priority="49">
      <formula>$R$4=1</formula>
    </cfRule>
    <cfRule type="expression" dxfId="22" priority="50">
      <formula>$R$4=1</formula>
    </cfRule>
  </conditionalFormatting>
  <conditionalFormatting sqref="H21:K21">
    <cfRule type="expression" dxfId="21" priority="47">
      <formula>$R$4=1</formula>
    </cfRule>
    <cfRule type="expression" dxfId="20" priority="48">
      <formula>$R$4=1</formula>
    </cfRule>
  </conditionalFormatting>
  <conditionalFormatting sqref="H24:K24">
    <cfRule type="expression" dxfId="19" priority="39">
      <formula>$R$4=1</formula>
    </cfRule>
    <cfRule type="expression" dxfId="18" priority="40">
      <formula>$R$4=1</formula>
    </cfRule>
  </conditionalFormatting>
  <conditionalFormatting sqref="H29:K29">
    <cfRule type="expression" dxfId="17" priority="45">
      <formula>$R$4=1</formula>
    </cfRule>
    <cfRule type="expression" dxfId="16" priority="46">
      <formula>$R$4=1</formula>
    </cfRule>
  </conditionalFormatting>
  <conditionalFormatting sqref="M96:P96">
    <cfRule type="expression" dxfId="15" priority="43">
      <formula>$R$4=1</formula>
    </cfRule>
    <cfRule type="expression" dxfId="14" priority="44">
      <formula>$R$4=1</formula>
    </cfRule>
  </conditionalFormatting>
  <conditionalFormatting sqref="M11:Q27 R23:V24 D26:K26 M93:P94 F104:L106">
    <cfRule type="expression" dxfId="13" priority="41">
      <formula>$R$4=1</formula>
    </cfRule>
    <cfRule type="expression" dxfId="12" priority="42">
      <formula>$R$4=1</formula>
    </cfRule>
  </conditionalFormatting>
  <conditionalFormatting sqref="M110:V115">
    <cfRule type="expression" dxfId="11" priority="57">
      <formula>$R$4=1</formula>
    </cfRule>
    <cfRule type="expression" dxfId="10" priority="58">
      <formula>$R$4=1</formula>
    </cfRule>
  </conditionalFormatting>
  <conditionalFormatting sqref="R11:V11">
    <cfRule type="expression" dxfId="9" priority="29">
      <formula>$R$4=1</formula>
    </cfRule>
    <cfRule type="expression" dxfId="8" priority="30">
      <formula>$R$4=1</formula>
    </cfRule>
  </conditionalFormatting>
  <conditionalFormatting sqref="R14:V14">
    <cfRule type="expression" dxfId="7" priority="27">
      <formula>$R$4=1</formula>
    </cfRule>
    <cfRule type="expression" dxfId="6" priority="28">
      <formula>$R$4=1</formula>
    </cfRule>
  </conditionalFormatting>
  <conditionalFormatting sqref="R17:V17">
    <cfRule type="expression" dxfId="5" priority="33">
      <formula>$R$4=1</formula>
    </cfRule>
    <cfRule type="expression" dxfId="4" priority="34">
      <formula>$R$4=1</formula>
    </cfRule>
  </conditionalFormatting>
  <conditionalFormatting sqref="R20:V20">
    <cfRule type="expression" dxfId="3" priority="31">
      <formula>$R$4=1</formula>
    </cfRule>
    <cfRule type="expression" dxfId="2" priority="32">
      <formula>$R$4=1</formula>
    </cfRule>
  </conditionalFormatting>
  <conditionalFormatting sqref="R26:V27 M28:V75">
    <cfRule type="expression" dxfId="1" priority="1">
      <formula>$R$4=1</formula>
    </cfRule>
    <cfRule type="expression" dxfId="0" priority="2">
      <formula>$R$4=1</formula>
    </cfRule>
  </conditionalFormatting>
  <pageMargins left="0.7" right="0.7" top="0.75" bottom="0.75" header="0.3" footer="0.3"/>
  <pageSetup scale="35" orientation="portrait" horizontalDpi="1200" verticalDpi="12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40"/>
  <sheetViews>
    <sheetView showGridLines="0" zoomScale="90" zoomScaleNormal="160" workbookViewId="0">
      <pane xSplit="3" ySplit="6" topLeftCell="J7" activePane="bottomRight" state="frozen"/>
      <selection pane="topRight" activeCell="D1" sqref="D1"/>
      <selection pane="bottomLeft" activeCell="A4" sqref="A4"/>
      <selection pane="bottomRight" activeCell="P76" sqref="P76:P102"/>
    </sheetView>
  </sheetViews>
  <sheetFormatPr defaultColWidth="9" defaultRowHeight="12" customHeight="1" outlineLevelCol="1"/>
  <cols>
    <col min="1" max="1" width="2.5" style="295" customWidth="1"/>
    <col min="2" max="2" width="25.5" style="295" customWidth="1"/>
    <col min="3" max="3" width="2.5" style="295" customWidth="1"/>
    <col min="4" max="8" width="0" style="295" hidden="1" outlineLevel="1"/>
    <col min="9" max="9" width="0" style="659" hidden="1" collapsed="1"/>
    <col min="10" max="14" width="9" style="295" customWidth="1"/>
    <col min="15" max="15" width="2.5" style="295" customWidth="1"/>
    <col min="16" max="16" width="9" style="295" customWidth="1"/>
    <col min="17" max="16384" width="9" style="295"/>
  </cols>
  <sheetData>
    <row r="1" spans="1:14" ht="12" customHeight="1">
      <c r="I1" s="658"/>
    </row>
    <row r="2" spans="1:14" ht="12" customHeight="1">
      <c r="B2" s="295" t="s">
        <v>45</v>
      </c>
      <c r="C2" s="295" t="str">
        <f>XSell</f>
        <v>Base</v>
      </c>
    </row>
    <row r="5" spans="1:14" ht="12" customHeight="1">
      <c r="B5" s="296"/>
      <c r="D5" s="362">
        <v>43830</v>
      </c>
      <c r="E5" s="348">
        <f t="shared" ref="E5:N5" si="0">EOMONTH(D5,12)</f>
        <v>44196</v>
      </c>
      <c r="F5" s="348">
        <f t="shared" si="0"/>
        <v>44561</v>
      </c>
      <c r="G5" s="348">
        <f t="shared" si="0"/>
        <v>44926</v>
      </c>
      <c r="H5" s="348">
        <f t="shared" si="0"/>
        <v>45291</v>
      </c>
      <c r="I5" s="660">
        <f t="shared" si="0"/>
        <v>45657</v>
      </c>
      <c r="J5" s="348">
        <f t="shared" si="0"/>
        <v>46022</v>
      </c>
      <c r="K5" s="348">
        <f t="shared" si="0"/>
        <v>46387</v>
      </c>
      <c r="L5" s="348">
        <f t="shared" si="0"/>
        <v>46752</v>
      </c>
      <c r="M5" s="348">
        <f t="shared" si="0"/>
        <v>47118</v>
      </c>
      <c r="N5" s="348">
        <f t="shared" si="0"/>
        <v>47483</v>
      </c>
    </row>
    <row r="6" spans="1:14" ht="12" customHeight="1">
      <c r="D6" s="363">
        <v>2019</v>
      </c>
      <c r="E6" s="295">
        <f t="shared" ref="E6:N6" si="1">D6+1</f>
        <v>2020</v>
      </c>
      <c r="F6" s="295">
        <f t="shared" si="1"/>
        <v>2021</v>
      </c>
      <c r="G6" s="295">
        <f t="shared" si="1"/>
        <v>2022</v>
      </c>
      <c r="H6" s="295">
        <f t="shared" si="1"/>
        <v>2023</v>
      </c>
      <c r="I6" s="659">
        <f t="shared" si="1"/>
        <v>2024</v>
      </c>
      <c r="J6" s="295">
        <f t="shared" si="1"/>
        <v>2025</v>
      </c>
      <c r="K6" s="295">
        <f t="shared" si="1"/>
        <v>2026</v>
      </c>
      <c r="L6" s="295">
        <f t="shared" si="1"/>
        <v>2027</v>
      </c>
      <c r="M6" s="295">
        <f t="shared" si="1"/>
        <v>2028</v>
      </c>
      <c r="N6" s="295">
        <f t="shared" si="1"/>
        <v>2029</v>
      </c>
    </row>
    <row r="7" spans="1:14" ht="12" customHeight="1">
      <c r="A7" s="295" t="s">
        <v>1</v>
      </c>
      <c r="B7" s="349" t="s">
        <v>309</v>
      </c>
      <c r="C7" s="349"/>
      <c r="D7" s="349"/>
      <c r="E7" s="349"/>
      <c r="F7" s="349"/>
      <c r="G7" s="349"/>
      <c r="H7" s="349"/>
      <c r="I7" s="661"/>
      <c r="J7" s="349"/>
      <c r="K7" s="349"/>
      <c r="L7" s="349"/>
      <c r="M7" s="349"/>
      <c r="N7" s="349"/>
    </row>
    <row r="9" spans="1:14" ht="12" customHeight="1">
      <c r="B9" s="295" t="s">
        <v>310</v>
      </c>
    </row>
    <row r="10" spans="1:14" ht="12" customHeight="1">
      <c r="B10" s="295" t="s">
        <v>311</v>
      </c>
      <c r="J10" s="657">
        <v>1.4E-2</v>
      </c>
      <c r="K10" s="360">
        <v>1.4E-2</v>
      </c>
      <c r="L10" s="360">
        <v>1.4E-2</v>
      </c>
      <c r="M10" s="360">
        <v>1.4E-2</v>
      </c>
      <c r="N10" s="360">
        <v>1.4E-2</v>
      </c>
    </row>
    <row r="11" spans="1:14" ht="12" customHeight="1">
      <c r="B11" s="295" t="s">
        <v>254</v>
      </c>
      <c r="J11" s="657">
        <v>0.13500000000000001</v>
      </c>
      <c r="K11" s="360">
        <v>0.13500000000000001</v>
      </c>
      <c r="L11" s="360">
        <v>0.13500000000000001</v>
      </c>
      <c r="M11" s="360">
        <v>0.13500000000000001</v>
      </c>
      <c r="N11" s="360">
        <v>0.13500000000000001</v>
      </c>
    </row>
    <row r="12" spans="1:14" ht="12" customHeight="1">
      <c r="B12" s="295" t="s">
        <v>253</v>
      </c>
      <c r="J12" s="657">
        <v>0.14499999999999999</v>
      </c>
      <c r="K12" s="360">
        <v>0.14499999999999999</v>
      </c>
      <c r="L12" s="360">
        <v>0.14499999999999999</v>
      </c>
      <c r="M12" s="360">
        <v>0.14499999999999999</v>
      </c>
      <c r="N12" s="360">
        <v>0.14499999999999999</v>
      </c>
    </row>
    <row r="13" spans="1:14" ht="12" customHeight="1">
      <c r="B13" s="295" t="s">
        <v>250</v>
      </c>
      <c r="J13" s="657">
        <v>4.4999999999999998E-2</v>
      </c>
      <c r="K13" s="360">
        <v>4.4999999999999998E-2</v>
      </c>
      <c r="L13" s="360">
        <v>4.4999999999999998E-2</v>
      </c>
      <c r="M13" s="360">
        <v>4.4999999999999998E-2</v>
      </c>
      <c r="N13" s="360">
        <v>4.4999999999999998E-2</v>
      </c>
    </row>
    <row r="15" spans="1:14" ht="12" customHeight="1">
      <c r="A15" s="295" t="s">
        <v>1</v>
      </c>
      <c r="B15" s="349" t="s">
        <v>250</v>
      </c>
      <c r="C15" s="349"/>
      <c r="D15" s="349"/>
      <c r="E15" s="349"/>
      <c r="F15" s="349"/>
      <c r="G15" s="349"/>
      <c r="H15" s="349"/>
      <c r="I15" s="661"/>
      <c r="J15" s="349"/>
      <c r="K15" s="349"/>
      <c r="L15" s="349"/>
      <c r="M15" s="349"/>
      <c r="N15" s="349"/>
    </row>
    <row r="16" spans="1:14" ht="4" customHeight="1">
      <c r="B16" s="353"/>
    </row>
    <row r="17" spans="2:14" ht="12" customHeight="1">
      <c r="B17" s="353" t="s">
        <v>312</v>
      </c>
      <c r="D17" s="364">
        <v>133.870194</v>
      </c>
      <c r="E17" s="364">
        <v>119.36184299999999</v>
      </c>
      <c r="F17" s="364">
        <v>216.554</v>
      </c>
      <c r="G17" s="364">
        <v>184.38928899999999</v>
      </c>
      <c r="H17" s="364">
        <v>161.06996871999999</v>
      </c>
      <c r="I17" s="662">
        <v>162.68066840719999</v>
      </c>
    </row>
    <row r="18" spans="2:14" ht="12" customHeight="1">
      <c r="B18" s="353" t="s">
        <v>313</v>
      </c>
      <c r="D18" s="364">
        <v>0</v>
      </c>
      <c r="E18" s="364">
        <v>0</v>
      </c>
      <c r="F18" s="364">
        <v>0</v>
      </c>
      <c r="G18" s="364">
        <v>0</v>
      </c>
      <c r="H18" s="364">
        <v>0</v>
      </c>
      <c r="I18" s="662">
        <v>0</v>
      </c>
    </row>
    <row r="19" spans="2:14" ht="12" customHeight="1">
      <c r="B19" s="353" t="s">
        <v>314</v>
      </c>
      <c r="D19" s="364">
        <v>0</v>
      </c>
      <c r="E19" s="364">
        <v>1.2110000000000001</v>
      </c>
      <c r="F19" s="364">
        <v>0.73699999999999999</v>
      </c>
      <c r="G19" s="364">
        <v>0.85199999999999998</v>
      </c>
      <c r="H19" s="364">
        <v>1.0747681099999999</v>
      </c>
      <c r="I19" s="662">
        <v>1.1257698428710241</v>
      </c>
    </row>
    <row r="20" spans="2:14" ht="12" customHeight="1">
      <c r="B20" s="353" t="s">
        <v>315</v>
      </c>
      <c r="D20" s="364">
        <v>35.109000000000002</v>
      </c>
      <c r="E20" s="364">
        <v>29.821000000000002</v>
      </c>
      <c r="F20" s="364">
        <v>34.500999999999998</v>
      </c>
      <c r="G20" s="364">
        <v>34.162999999999997</v>
      </c>
      <c r="H20" s="364">
        <v>37.897285930000002</v>
      </c>
      <c r="I20" s="662">
        <v>40.171123085800012</v>
      </c>
    </row>
    <row r="21" spans="2:14" ht="12" customHeight="1">
      <c r="B21" s="353" t="s">
        <v>316</v>
      </c>
      <c r="D21" s="364">
        <v>6.2089999999999996</v>
      </c>
      <c r="E21" s="364">
        <v>5.6105720000000003</v>
      </c>
      <c r="F21" s="364">
        <v>2.4750000000000001</v>
      </c>
      <c r="G21" s="364">
        <v>5.859</v>
      </c>
      <c r="H21" s="364">
        <v>21.205057289999999</v>
      </c>
      <c r="I21" s="662">
        <v>19.296602133899999</v>
      </c>
    </row>
    <row r="22" spans="2:14" ht="12" customHeight="1">
      <c r="B22" s="353" t="s">
        <v>317</v>
      </c>
      <c r="D22" s="364">
        <v>7.1745000000000001</v>
      </c>
      <c r="E22" s="364">
        <v>11.3105682782695</v>
      </c>
      <c r="F22" s="364">
        <v>20.8240251674709</v>
      </c>
      <c r="G22" s="364">
        <v>22.216846190059201</v>
      </c>
      <c r="H22" s="364">
        <v>14.453480000000001</v>
      </c>
      <c r="I22" s="662">
        <v>14.887084400000001</v>
      </c>
    </row>
    <row r="23" spans="2:14" ht="12" customHeight="1">
      <c r="B23" s="353" t="s">
        <v>318</v>
      </c>
      <c r="D23" s="364">
        <v>16.353400000000001</v>
      </c>
      <c r="E23" s="364">
        <v>5.359</v>
      </c>
      <c r="F23" s="364">
        <v>2.6709999999999998</v>
      </c>
      <c r="G23" s="364">
        <v>4.548</v>
      </c>
      <c r="H23" s="364">
        <v>1.13478912</v>
      </c>
      <c r="I23" s="662">
        <v>1.3730948352000001</v>
      </c>
    </row>
    <row r="24" spans="2:14" ht="12" customHeight="1">
      <c r="B24" s="353" t="s">
        <v>319</v>
      </c>
      <c r="D24" s="364">
        <v>1.2815000000000001</v>
      </c>
      <c r="E24" s="364">
        <v>0.84299999999999997</v>
      </c>
      <c r="F24" s="364">
        <v>1.6359999999999999</v>
      </c>
      <c r="G24" s="364">
        <v>1.524</v>
      </c>
      <c r="H24" s="364">
        <v>2.888449</v>
      </c>
      <c r="I24" s="662">
        <v>3.0617559399999998</v>
      </c>
    </row>
    <row r="25" spans="2:14" ht="12" customHeight="1">
      <c r="B25" s="353" t="s">
        <v>320</v>
      </c>
      <c r="D25" s="364">
        <v>1.83786</v>
      </c>
      <c r="E25" s="364">
        <v>5.9710000000000001</v>
      </c>
      <c r="F25" s="364">
        <v>8.9109999999999996</v>
      </c>
      <c r="G25" s="364">
        <v>11.724</v>
      </c>
      <c r="H25" s="364">
        <v>10.591102640000001</v>
      </c>
      <c r="I25" s="662">
        <v>11.0147467456</v>
      </c>
    </row>
    <row r="26" spans="2:14" ht="12" customHeight="1">
      <c r="B26" s="353" t="s">
        <v>321</v>
      </c>
      <c r="D26" s="364">
        <v>9.2024500000000007</v>
      </c>
      <c r="E26" s="364">
        <v>10.14994175</v>
      </c>
      <c r="F26" s="364">
        <v>15.27685984</v>
      </c>
      <c r="G26" s="364">
        <v>13.014011269999999</v>
      </c>
      <c r="H26" s="364">
        <v>13.950893000000001</v>
      </c>
      <c r="I26" s="662">
        <v>12.69531263</v>
      </c>
    </row>
    <row r="27" spans="2:14" ht="12" customHeight="1">
      <c r="B27" s="353" t="s">
        <v>322</v>
      </c>
      <c r="D27" s="364">
        <v>1.593</v>
      </c>
      <c r="E27" s="364">
        <v>0.66100000000000003</v>
      </c>
      <c r="F27" s="364">
        <v>0.26600000000000001</v>
      </c>
      <c r="G27" s="364">
        <v>0.502</v>
      </c>
      <c r="H27" s="364">
        <v>2.0691290000000002</v>
      </c>
      <c r="I27" s="662">
        <v>7.9868379399999991</v>
      </c>
    </row>
    <row r="28" spans="2:14" ht="12" customHeight="1">
      <c r="B28" s="353" t="s">
        <v>323</v>
      </c>
      <c r="D28" s="364">
        <v>7.2673050000000003</v>
      </c>
      <c r="E28" s="364">
        <v>2.0525069999999999</v>
      </c>
      <c r="F28" s="364">
        <v>2.7795909999999999</v>
      </c>
      <c r="G28" s="364">
        <v>3.606554</v>
      </c>
      <c r="H28" s="364">
        <v>5.2015600000000006</v>
      </c>
      <c r="I28" s="662">
        <v>5.5136536000000014</v>
      </c>
    </row>
    <row r="29" spans="2:14" ht="12" customHeight="1">
      <c r="B29" s="353" t="s">
        <v>324</v>
      </c>
      <c r="D29" s="364">
        <v>0.27061649999999998</v>
      </c>
      <c r="E29" s="364">
        <v>0.55574999999999997</v>
      </c>
      <c r="F29" s="364">
        <v>1.438634</v>
      </c>
      <c r="G29" s="364">
        <v>6.6521859999999986</v>
      </c>
      <c r="H29" s="364">
        <v>2.7149999999999999</v>
      </c>
      <c r="I29" s="662">
        <v>3.0136500000000002</v>
      </c>
    </row>
    <row r="30" spans="2:14" ht="12" customHeight="1">
      <c r="B30" s="353" t="s">
        <v>325</v>
      </c>
      <c r="D30" s="364">
        <v>7.4288767500000006</v>
      </c>
      <c r="E30" s="364">
        <v>10.033049999999999</v>
      </c>
      <c r="F30" s="364">
        <v>6.4796125</v>
      </c>
      <c r="G30" s="364">
        <v>6.1958250000000001</v>
      </c>
      <c r="H30" s="364">
        <v>16.464739999999999</v>
      </c>
      <c r="I30" s="662">
        <v>17.452624400000001</v>
      </c>
    </row>
    <row r="31" spans="2:14" ht="12" customHeight="1">
      <c r="B31" s="353" t="s">
        <v>326</v>
      </c>
      <c r="D31" s="364">
        <v>0</v>
      </c>
      <c r="E31" s="364">
        <v>0</v>
      </c>
      <c r="F31" s="364">
        <v>3.5000000000000003E-2</v>
      </c>
      <c r="G31" s="364">
        <v>0.20200000000000001</v>
      </c>
      <c r="H31" s="364">
        <v>0.62026099999999995</v>
      </c>
      <c r="I31" s="662">
        <v>0.62026099999999995</v>
      </c>
    </row>
    <row r="32" spans="2:14" ht="12" customHeight="1">
      <c r="B32" s="353" t="s">
        <v>327</v>
      </c>
      <c r="D32" s="350">
        <f t="shared" ref="D32:I32" si="2">SUM(D17:D31)</f>
        <v>227.59770224999997</v>
      </c>
      <c r="E32" s="350">
        <f t="shared" si="2"/>
        <v>202.94023202826949</v>
      </c>
      <c r="F32" s="350">
        <f t="shared" si="2"/>
        <v>314.58472250747087</v>
      </c>
      <c r="G32" s="350">
        <f t="shared" si="2"/>
        <v>295.44871146005926</v>
      </c>
      <c r="H32" s="350">
        <f t="shared" si="2"/>
        <v>291.33648381000006</v>
      </c>
      <c r="I32" s="663">
        <f t="shared" si="2"/>
        <v>300.89318496057103</v>
      </c>
      <c r="J32" s="355">
        <f>I32*(1+J33)</f>
        <v>308.41551458458531</v>
      </c>
      <c r="K32" s="355">
        <f>J32*(1+K33)</f>
        <v>316.12590244919994</v>
      </c>
      <c r="L32" s="355">
        <f>K32*(1+L33)</f>
        <v>324.0290500104299</v>
      </c>
      <c r="M32" s="355">
        <f>L32*(1+M33)</f>
        <v>332.12977626069062</v>
      </c>
      <c r="N32" s="355">
        <f>M32*(1+N33)</f>
        <v>340.43302066720787</v>
      </c>
    </row>
    <row r="33" spans="2:14" ht="12" customHeight="1">
      <c r="B33" s="361" t="s">
        <v>328</v>
      </c>
      <c r="E33" s="354">
        <f>E32/D32-1</f>
        <v>-0.1083379576242206</v>
      </c>
      <c r="F33" s="354">
        <f>F32/E32-1</f>
        <v>0.55013483212953718</v>
      </c>
      <c r="G33" s="354">
        <f>G32/F32-1</f>
        <v>-6.0829435373986329E-2</v>
      </c>
      <c r="H33" s="354">
        <f>H32/G32-1</f>
        <v>-1.3918583803385842E-2</v>
      </c>
      <c r="I33" s="664">
        <f>I32/H32-1</f>
        <v>3.2802967296068353E-2</v>
      </c>
      <c r="J33" s="356">
        <f>SUM(J34,J35)</f>
        <v>2.4999999999999998E-2</v>
      </c>
      <c r="K33" s="356">
        <f>SUM(K34,K35)</f>
        <v>2.4999999999999998E-2</v>
      </c>
      <c r="L33" s="356">
        <f>SUM(L34,L35)</f>
        <v>2.4999999999999998E-2</v>
      </c>
      <c r="M33" s="356">
        <f>SUM(M34,M35)</f>
        <v>2.4999999999999998E-2</v>
      </c>
      <c r="N33" s="356">
        <f>SUM(N34,N35)</f>
        <v>2.4999999999999998E-2</v>
      </c>
    </row>
    <row r="34" spans="2:14" ht="12" customHeight="1">
      <c r="B34" s="368" t="s">
        <v>329</v>
      </c>
      <c r="E34" s="354"/>
      <c r="F34" s="354"/>
      <c r="G34" s="354"/>
      <c r="H34" s="354"/>
      <c r="I34" s="664"/>
      <c r="J34" s="356">
        <f>J13</f>
        <v>4.4999999999999998E-2</v>
      </c>
      <c r="K34" s="356">
        <f>K13</f>
        <v>4.4999999999999998E-2</v>
      </c>
      <c r="L34" s="356">
        <f>L13</f>
        <v>4.4999999999999998E-2</v>
      </c>
      <c r="M34" s="356">
        <f>M13</f>
        <v>4.4999999999999998E-2</v>
      </c>
      <c r="N34" s="356">
        <f>N13</f>
        <v>4.4999999999999998E-2</v>
      </c>
    </row>
    <row r="35" spans="2:14" ht="12" customHeight="1">
      <c r="B35" s="368" t="s">
        <v>330</v>
      </c>
      <c r="E35" s="354"/>
      <c r="F35" s="354"/>
      <c r="G35" s="354"/>
      <c r="H35" s="354"/>
      <c r="I35" s="664"/>
      <c r="J35" s="357">
        <v>-0.02</v>
      </c>
      <c r="K35" s="357">
        <v>-0.02</v>
      </c>
      <c r="L35" s="357">
        <v>-0.02</v>
      </c>
      <c r="M35" s="357">
        <v>-0.02</v>
      </c>
      <c r="N35" s="357">
        <v>-0.02</v>
      </c>
    </row>
    <row r="36" spans="2:14" ht="4" customHeight="1">
      <c r="B36" s="353"/>
    </row>
    <row r="37" spans="2:14" ht="12" customHeight="1">
      <c r="B37" s="353" t="s">
        <v>331</v>
      </c>
      <c r="D37" s="350">
        <f>'Top Customer Data'!D27</f>
        <v>329.60544369000002</v>
      </c>
      <c r="E37" s="350">
        <f>'Top Customer Data'!E27</f>
        <v>316.18913628173038</v>
      </c>
      <c r="F37" s="350">
        <f>'Top Customer Data'!F27</f>
        <v>305.09223747252901</v>
      </c>
      <c r="G37" s="350">
        <f>'Top Customer Data'!G27</f>
        <v>356.48742576994073</v>
      </c>
      <c r="H37" s="350">
        <f>'Top Customer Data'!H27</f>
        <v>363.8224621266375</v>
      </c>
      <c r="I37" s="350">
        <f>'Top Customer Data'!I27</f>
        <v>369.76752700833322</v>
      </c>
      <c r="J37" s="355">
        <f>I37*(1+J38)</f>
        <v>386.40706572370817</v>
      </c>
      <c r="K37" s="355">
        <f>J37*(1+K38)</f>
        <v>403.79538368127498</v>
      </c>
      <c r="L37" s="355">
        <f>K37*(1+L38)</f>
        <v>421.96617594693231</v>
      </c>
      <c r="M37" s="355">
        <f>L37*(1+M38)</f>
        <v>440.95465386454424</v>
      </c>
      <c r="N37" s="355">
        <f>M37*(1+N38)</f>
        <v>460.7976132884487</v>
      </c>
    </row>
    <row r="38" spans="2:14" ht="12" customHeight="1">
      <c r="B38" s="361" t="s">
        <v>328</v>
      </c>
      <c r="E38" s="354">
        <f>E37/D37-1</f>
        <v>-4.0704143894200739E-2</v>
      </c>
      <c r="F38" s="354">
        <f>F37/E37-1</f>
        <v>-3.5095762427820532E-2</v>
      </c>
      <c r="G38" s="354">
        <f>G37/F37-1</f>
        <v>0.16845786940757357</v>
      </c>
      <c r="H38" s="354">
        <f>H37/G37-1</f>
        <v>2.057586278353174E-2</v>
      </c>
      <c r="I38" s="664">
        <f>I37/H37-1</f>
        <v>1.6340565799443096E-2</v>
      </c>
      <c r="J38" s="357">
        <f>SUM(J39,J40)</f>
        <v>4.4999999999999998E-2</v>
      </c>
      <c r="K38" s="357">
        <f>SUM(K39,K40)</f>
        <v>4.4999999999999998E-2</v>
      </c>
      <c r="L38" s="357">
        <f>SUM(L39,L40)</f>
        <v>4.4999999999999998E-2</v>
      </c>
      <c r="M38" s="357">
        <f>SUM(M39,M40)</f>
        <v>4.4999999999999998E-2</v>
      </c>
      <c r="N38" s="357">
        <f>SUM(N39,N40)</f>
        <v>4.4999999999999998E-2</v>
      </c>
    </row>
    <row r="39" spans="2:14" ht="12" customHeight="1">
      <c r="B39" s="368" t="s">
        <v>329</v>
      </c>
      <c r="E39" s="354"/>
      <c r="F39" s="354"/>
      <c r="G39" s="354"/>
      <c r="H39" s="354"/>
      <c r="I39" s="664"/>
      <c r="J39" s="356">
        <f>J13</f>
        <v>4.4999999999999998E-2</v>
      </c>
      <c r="K39" s="356">
        <f>K13</f>
        <v>4.4999999999999998E-2</v>
      </c>
      <c r="L39" s="356">
        <f>L13</f>
        <v>4.4999999999999998E-2</v>
      </c>
      <c r="M39" s="356">
        <f>M13</f>
        <v>4.4999999999999998E-2</v>
      </c>
      <c r="N39" s="356">
        <f>N13</f>
        <v>4.4999999999999998E-2</v>
      </c>
    </row>
    <row r="40" spans="2:14" ht="12" customHeight="1">
      <c r="B40" s="368" t="s">
        <v>332</v>
      </c>
      <c r="E40" s="354"/>
      <c r="F40" s="354"/>
      <c r="G40" s="354"/>
      <c r="H40" s="354"/>
      <c r="I40" s="664"/>
      <c r="J40" s="357">
        <v>0</v>
      </c>
      <c r="K40" s="357">
        <v>0</v>
      </c>
      <c r="L40" s="357">
        <v>0</v>
      </c>
      <c r="M40" s="357">
        <v>0</v>
      </c>
      <c r="N40" s="357">
        <v>0</v>
      </c>
    </row>
    <row r="41" spans="2:14" ht="4" customHeight="1">
      <c r="B41" s="353"/>
    </row>
    <row r="42" spans="2:14" ht="12" customHeight="1">
      <c r="B42" s="371" t="s">
        <v>258</v>
      </c>
      <c r="C42" s="351"/>
      <c r="D42" s="352">
        <f t="shared" ref="D42:N42" si="3">D37+D32</f>
        <v>557.20314594000001</v>
      </c>
      <c r="E42" s="352">
        <f t="shared" si="3"/>
        <v>519.1293683099999</v>
      </c>
      <c r="F42" s="352">
        <f t="shared" si="3"/>
        <v>619.67695997999988</v>
      </c>
      <c r="G42" s="352">
        <f t="shared" si="3"/>
        <v>651.93613722999999</v>
      </c>
      <c r="H42" s="352">
        <f t="shared" si="3"/>
        <v>655.15894593663756</v>
      </c>
      <c r="I42" s="665">
        <f t="shared" si="3"/>
        <v>670.66071196890425</v>
      </c>
      <c r="J42" s="352">
        <f t="shared" si="3"/>
        <v>694.82258030829348</v>
      </c>
      <c r="K42" s="352">
        <f t="shared" si="3"/>
        <v>719.92128613047498</v>
      </c>
      <c r="L42" s="352">
        <f t="shared" si="3"/>
        <v>745.99522595736221</v>
      </c>
      <c r="M42" s="352">
        <f t="shared" si="3"/>
        <v>773.0844301252348</v>
      </c>
      <c r="N42" s="372">
        <f t="shared" si="3"/>
        <v>801.23063395565657</v>
      </c>
    </row>
    <row r="43" spans="2:14" ht="12" customHeight="1">
      <c r="B43" s="373" t="s">
        <v>328</v>
      </c>
      <c r="C43" s="374"/>
      <c r="D43" s="374"/>
      <c r="E43" s="375">
        <f t="shared" ref="E43:N43" si="4">E42/D42-1</f>
        <v>-6.8330155540973769E-2</v>
      </c>
      <c r="F43" s="375">
        <f t="shared" si="4"/>
        <v>0.19368503846609131</v>
      </c>
      <c r="G43" s="375">
        <f t="shared" si="4"/>
        <v>5.2058054976001245E-2</v>
      </c>
      <c r="H43" s="375">
        <f t="shared" si="4"/>
        <v>4.9434423444156828E-3</v>
      </c>
      <c r="I43" s="666">
        <f t="shared" si="4"/>
        <v>2.3661076641645851E-2</v>
      </c>
      <c r="J43" s="375">
        <f t="shared" si="4"/>
        <v>3.6026962528423079E-2</v>
      </c>
      <c r="K43" s="375">
        <f t="shared" si="4"/>
        <v>3.6122467135488279E-2</v>
      </c>
      <c r="L43" s="375">
        <f t="shared" si="4"/>
        <v>3.6217764815696496E-2</v>
      </c>
      <c r="M43" s="375">
        <f t="shared" si="4"/>
        <v>3.6312838507924772E-2</v>
      </c>
      <c r="N43" s="376">
        <f t="shared" si="4"/>
        <v>3.6407671314583556E-2</v>
      </c>
    </row>
    <row r="44" spans="2:14" ht="12" customHeight="1">
      <c r="B44" s="353"/>
    </row>
    <row r="45" spans="2:14" ht="12" customHeight="1">
      <c r="B45" s="353" t="s">
        <v>333</v>
      </c>
      <c r="E45" s="356">
        <f t="shared" ref="E45:N45" si="5">E33-E38</f>
        <v>-6.7633813730019865E-2</v>
      </c>
      <c r="F45" s="356">
        <f t="shared" si="5"/>
        <v>0.58523059455735771</v>
      </c>
      <c r="G45" s="356">
        <f t="shared" si="5"/>
        <v>-0.2292873047815599</v>
      </c>
      <c r="H45" s="356">
        <f t="shared" si="5"/>
        <v>-3.4494446586917582E-2</v>
      </c>
      <c r="I45" s="667">
        <f t="shared" si="5"/>
        <v>1.6462401496625256E-2</v>
      </c>
      <c r="J45" s="356">
        <f t="shared" si="5"/>
        <v>-0.02</v>
      </c>
      <c r="K45" s="356">
        <f t="shared" si="5"/>
        <v>-0.02</v>
      </c>
      <c r="L45" s="356">
        <f t="shared" si="5"/>
        <v>-0.02</v>
      </c>
      <c r="M45" s="356">
        <f t="shared" si="5"/>
        <v>-0.02</v>
      </c>
      <c r="N45" s="356">
        <f t="shared" si="5"/>
        <v>-0.02</v>
      </c>
    </row>
    <row r="46" spans="2:14" ht="12" customHeight="1">
      <c r="B46" s="353"/>
    </row>
    <row r="47" spans="2:14" ht="12" customHeight="1">
      <c r="B47" s="369" t="s">
        <v>334</v>
      </c>
    </row>
    <row r="48" spans="2:14" ht="12" customHeight="1">
      <c r="B48" s="361" t="s">
        <v>335</v>
      </c>
      <c r="D48" s="354">
        <f t="shared" ref="D48:N48" si="6">D32/D$42</f>
        <v>0.40846449613281227</v>
      </c>
      <c r="E48" s="354">
        <f t="shared" si="6"/>
        <v>0.3909241981221972</v>
      </c>
      <c r="F48" s="354">
        <f t="shared" si="6"/>
        <v>0.50765922056812329</v>
      </c>
      <c r="G48" s="354">
        <f t="shared" si="6"/>
        <v>0.45318658467896272</v>
      </c>
      <c r="H48" s="354">
        <f t="shared" si="6"/>
        <v>0.4446806162335088</v>
      </c>
      <c r="I48" s="664">
        <f t="shared" si="6"/>
        <v>0.44865187357884506</v>
      </c>
      <c r="J48" s="354">
        <f t="shared" si="6"/>
        <v>0.44387664322558579</v>
      </c>
      <c r="K48" s="354">
        <f t="shared" si="6"/>
        <v>0.43911175921516904</v>
      </c>
      <c r="L48" s="354">
        <f t="shared" si="6"/>
        <v>0.43435807460375087</v>
      </c>
      <c r="M48" s="354">
        <f t="shared" si="6"/>
        <v>0.42961643427081786</v>
      </c>
      <c r="N48" s="354">
        <f t="shared" si="6"/>
        <v>0.42488767433478941</v>
      </c>
    </row>
    <row r="49" spans="1:14" ht="12" customHeight="1">
      <c r="B49" s="361" t="s">
        <v>336</v>
      </c>
      <c r="D49" s="354">
        <f t="shared" ref="D49:N49" si="7">D37/D42</f>
        <v>0.59153550386718767</v>
      </c>
      <c r="E49" s="354">
        <f t="shared" si="7"/>
        <v>0.60907580187780275</v>
      </c>
      <c r="F49" s="354">
        <f t="shared" si="7"/>
        <v>0.49234077943187671</v>
      </c>
      <c r="G49" s="354">
        <f t="shared" si="7"/>
        <v>0.54681341532103722</v>
      </c>
      <c r="H49" s="354">
        <f t="shared" si="7"/>
        <v>0.55531938376649126</v>
      </c>
      <c r="I49" s="664">
        <f t="shared" si="7"/>
        <v>0.55134812642115494</v>
      </c>
      <c r="J49" s="354">
        <f t="shared" si="7"/>
        <v>0.55612335677441427</v>
      </c>
      <c r="K49" s="354">
        <f t="shared" si="7"/>
        <v>0.5608882407848309</v>
      </c>
      <c r="L49" s="354">
        <f t="shared" si="7"/>
        <v>0.56564192539624913</v>
      </c>
      <c r="M49" s="354">
        <f t="shared" si="7"/>
        <v>0.57038356572918225</v>
      </c>
      <c r="N49" s="354">
        <f t="shared" si="7"/>
        <v>0.57511232566521064</v>
      </c>
    </row>
    <row r="50" spans="1:14" ht="12" customHeight="1">
      <c r="B50" s="353"/>
    </row>
    <row r="51" spans="1:14" ht="4" customHeight="1"/>
    <row r="52" spans="1:14" ht="12" customHeight="1">
      <c r="A52" s="295" t="s">
        <v>1</v>
      </c>
      <c r="B52" s="349" t="s">
        <v>253</v>
      </c>
      <c r="C52" s="349"/>
      <c r="D52" s="349"/>
      <c r="E52" s="349"/>
      <c r="F52" s="349"/>
      <c r="G52" s="349"/>
      <c r="H52" s="349"/>
      <c r="I52" s="661"/>
      <c r="J52" s="349"/>
      <c r="K52" s="349"/>
      <c r="L52" s="349"/>
      <c r="M52" s="349"/>
      <c r="N52" s="349"/>
    </row>
    <row r="53" spans="1:14" ht="4" customHeight="1"/>
    <row r="54" spans="1:14" ht="12" customHeight="1">
      <c r="B54" s="353" t="s">
        <v>312</v>
      </c>
      <c r="D54" s="350">
        <f>'Top Customer Data'!D34</f>
        <v>0</v>
      </c>
      <c r="E54" s="350">
        <f>'Top Customer Data'!E34</f>
        <v>0</v>
      </c>
      <c r="F54" s="350">
        <f>'Top Customer Data'!F34</f>
        <v>0</v>
      </c>
      <c r="G54" s="350">
        <f>'Top Customer Data'!G34</f>
        <v>0</v>
      </c>
      <c r="H54" s="350">
        <f>'Top Customer Data'!H34</f>
        <v>0</v>
      </c>
      <c r="I54" s="663">
        <f>'Top Customer Data'!I34</f>
        <v>0</v>
      </c>
    </row>
    <row r="55" spans="1:14" ht="12" customHeight="1">
      <c r="B55" s="353" t="s">
        <v>313</v>
      </c>
      <c r="D55" s="350">
        <f>'Top Customer Data'!D35</f>
        <v>0</v>
      </c>
      <c r="E55" s="350">
        <f>'Top Customer Data'!E35</f>
        <v>0</v>
      </c>
      <c r="F55" s="350">
        <f>'Top Customer Data'!F35</f>
        <v>0</v>
      </c>
      <c r="G55" s="350">
        <f>'Top Customer Data'!G35</f>
        <v>0</v>
      </c>
      <c r="H55" s="350">
        <f>'Top Customer Data'!H35</f>
        <v>0</v>
      </c>
      <c r="I55" s="663">
        <f>'Top Customer Data'!I35</f>
        <v>0</v>
      </c>
    </row>
    <row r="56" spans="1:14" ht="12" customHeight="1">
      <c r="B56" s="353" t="s">
        <v>314</v>
      </c>
      <c r="D56" s="350">
        <f>'Top Customer Data'!D36</f>
        <v>0</v>
      </c>
      <c r="E56" s="350">
        <f>'Top Customer Data'!E36</f>
        <v>0</v>
      </c>
      <c r="F56" s="350">
        <f>'Top Customer Data'!F36</f>
        <v>0</v>
      </c>
      <c r="G56" s="350">
        <f>'Top Customer Data'!G36</f>
        <v>0</v>
      </c>
      <c r="H56" s="350">
        <f>'Top Customer Data'!H36</f>
        <v>0</v>
      </c>
      <c r="I56" s="663">
        <f>'Top Customer Data'!I36</f>
        <v>0</v>
      </c>
    </row>
    <row r="57" spans="1:14" ht="12" customHeight="1">
      <c r="B57" s="353" t="s">
        <v>315</v>
      </c>
      <c r="D57" s="350">
        <f>'Top Customer Data'!D37</f>
        <v>0.57499999999999996</v>
      </c>
      <c r="E57" s="350">
        <f>'Top Customer Data'!E37</f>
        <v>0.56599999999999995</v>
      </c>
      <c r="F57" s="350">
        <f>'Top Customer Data'!F37</f>
        <v>0.16700000000000001</v>
      </c>
      <c r="G57" s="350">
        <f>'Top Customer Data'!G37</f>
        <v>2.1000000000000001E-2</v>
      </c>
      <c r="H57" s="350">
        <f>'Top Customer Data'!H37</f>
        <v>9.1265999999999986E-2</v>
      </c>
      <c r="I57" s="663">
        <f>'Top Customer Data'!I37</f>
        <v>9.2178659999999982E-2</v>
      </c>
    </row>
    <row r="58" spans="1:14" ht="12" customHeight="1">
      <c r="B58" s="353" t="s">
        <v>316</v>
      </c>
      <c r="D58" s="350">
        <f>'Top Customer Data'!D38</f>
        <v>12.8567</v>
      </c>
      <c r="E58" s="350">
        <f>'Top Customer Data'!E38</f>
        <v>5.6840000000000002</v>
      </c>
      <c r="F58" s="350">
        <f>'Top Customer Data'!F38</f>
        <v>5.391</v>
      </c>
      <c r="G58" s="350">
        <f>'Top Customer Data'!G38</f>
        <v>6.8129999999999997</v>
      </c>
      <c r="H58" s="350">
        <f>'Top Customer Data'!H38</f>
        <v>9.1460000000000008</v>
      </c>
      <c r="I58" s="663">
        <f>'Top Customer Data'!I38</f>
        <v>10.152060000000002</v>
      </c>
    </row>
    <row r="59" spans="1:14" ht="12" customHeight="1">
      <c r="B59" s="353" t="s">
        <v>317</v>
      </c>
      <c r="D59" s="350">
        <f>'Top Customer Data'!D39</f>
        <v>0</v>
      </c>
      <c r="E59" s="350">
        <f>'Top Customer Data'!E39</f>
        <v>0</v>
      </c>
      <c r="F59" s="350">
        <f>'Top Customer Data'!F39</f>
        <v>0</v>
      </c>
      <c r="G59" s="350">
        <f>'Top Customer Data'!G39</f>
        <v>0</v>
      </c>
      <c r="H59" s="350">
        <f>'Top Customer Data'!H39</f>
        <v>0</v>
      </c>
      <c r="I59" s="663">
        <f>'Top Customer Data'!I39</f>
        <v>0</v>
      </c>
    </row>
    <row r="60" spans="1:14" ht="12" customHeight="1">
      <c r="B60" s="353" t="s">
        <v>318</v>
      </c>
      <c r="D60" s="350">
        <f>'Top Customer Data'!D40</f>
        <v>10.8393</v>
      </c>
      <c r="E60" s="350">
        <f>'Top Customer Data'!E40</f>
        <v>10.647</v>
      </c>
      <c r="F60" s="350">
        <f>'Top Customer Data'!F40</f>
        <v>10.125</v>
      </c>
      <c r="G60" s="350">
        <f>'Top Customer Data'!G40</f>
        <v>10.425000000000001</v>
      </c>
      <c r="H60" s="350">
        <f>'Top Customer Data'!H40</f>
        <v>10.285399999999999</v>
      </c>
      <c r="I60" s="663">
        <f>'Top Customer Data'!I40</f>
        <v>10.593961999999999</v>
      </c>
    </row>
    <row r="61" spans="1:14" ht="12" customHeight="1">
      <c r="B61" s="353" t="s">
        <v>319</v>
      </c>
      <c r="D61" s="350">
        <f>'Top Customer Data'!D41</f>
        <v>0</v>
      </c>
      <c r="E61" s="350">
        <f>'Top Customer Data'!E41</f>
        <v>0</v>
      </c>
      <c r="F61" s="350">
        <f>'Top Customer Data'!F41</f>
        <v>0</v>
      </c>
      <c r="G61" s="350">
        <f>'Top Customer Data'!G41</f>
        <v>0</v>
      </c>
      <c r="H61" s="350">
        <f>'Top Customer Data'!H41</f>
        <v>0</v>
      </c>
      <c r="I61" s="663">
        <f>'Top Customer Data'!I41</f>
        <v>0</v>
      </c>
    </row>
    <row r="62" spans="1:14" ht="12" customHeight="1">
      <c r="B62" s="353" t="s">
        <v>320</v>
      </c>
      <c r="D62" s="350">
        <f>'Top Customer Data'!D42</f>
        <v>0</v>
      </c>
      <c r="E62" s="350">
        <f>'Top Customer Data'!E42</f>
        <v>0</v>
      </c>
      <c r="F62" s="350">
        <f>'Top Customer Data'!F42</f>
        <v>0</v>
      </c>
      <c r="G62" s="350">
        <f>'Top Customer Data'!G42</f>
        <v>0</v>
      </c>
      <c r="H62" s="350">
        <f>'Top Customer Data'!H42</f>
        <v>0</v>
      </c>
      <c r="I62" s="663">
        <f>'Top Customer Data'!I42</f>
        <v>0</v>
      </c>
    </row>
    <row r="63" spans="1:14" ht="12" customHeight="1">
      <c r="B63" s="353" t="s">
        <v>321</v>
      </c>
      <c r="D63" s="350">
        <f>'Top Customer Data'!D43</f>
        <v>1.44E-2</v>
      </c>
      <c r="E63" s="350">
        <f>'Top Customer Data'!E43</f>
        <v>0.10215</v>
      </c>
      <c r="F63" s="350">
        <f>'Top Customer Data'!F43</f>
        <v>9.3900000000000011E-2</v>
      </c>
      <c r="G63" s="350">
        <f>'Top Customer Data'!G43</f>
        <v>1.44E-2</v>
      </c>
      <c r="H63" s="350">
        <f>'Top Customer Data'!H43</f>
        <v>1.44E-2</v>
      </c>
      <c r="I63" s="663">
        <f>'Top Customer Data'!I43</f>
        <v>1.4544E-2</v>
      </c>
    </row>
    <row r="64" spans="1:14" ht="12" customHeight="1">
      <c r="B64" s="353" t="s">
        <v>322</v>
      </c>
      <c r="D64" s="350">
        <f>'Top Customer Data'!D44</f>
        <v>0</v>
      </c>
      <c r="E64" s="350">
        <f>'Top Customer Data'!E44</f>
        <v>0.8769539999999999</v>
      </c>
      <c r="F64" s="350">
        <f>'Top Customer Data'!F44</f>
        <v>3.9540000000000002</v>
      </c>
      <c r="G64" s="350">
        <f>'Top Customer Data'!G44</f>
        <v>5.1429999999999998</v>
      </c>
      <c r="H64" s="350">
        <f>'Top Customer Data'!H44</f>
        <v>9.0310000000000006</v>
      </c>
      <c r="I64" s="663">
        <f>'Top Customer Data'!I44</f>
        <v>10.475960000000001</v>
      </c>
    </row>
    <row r="65" spans="2:14" ht="12" customHeight="1">
      <c r="B65" s="353" t="s">
        <v>323</v>
      </c>
      <c r="D65" s="350">
        <f>'Top Customer Data'!D45</f>
        <v>4.6872749999999998E-2</v>
      </c>
      <c r="E65" s="350">
        <f>'Top Customer Data'!E45</f>
        <v>1.852743</v>
      </c>
      <c r="F65" s="350">
        <f>'Top Customer Data'!F45</f>
        <v>5.3117839999999994</v>
      </c>
      <c r="G65" s="350">
        <f>'Top Customer Data'!G45</f>
        <v>6.1659459999999999</v>
      </c>
      <c r="H65" s="350">
        <f>'Top Customer Data'!H45</f>
        <v>6.08</v>
      </c>
      <c r="I65" s="663">
        <f>'Top Customer Data'!I45</f>
        <v>6.1408000000000005</v>
      </c>
    </row>
    <row r="66" spans="2:14" ht="12" customHeight="1">
      <c r="B66" s="353" t="s">
        <v>324</v>
      </c>
      <c r="D66" s="350">
        <f>'Top Customer Data'!D46</f>
        <v>0</v>
      </c>
      <c r="E66" s="350">
        <f>'Top Customer Data'!E46</f>
        <v>0</v>
      </c>
      <c r="F66" s="350">
        <f>'Top Customer Data'!F46</f>
        <v>0.218866</v>
      </c>
      <c r="G66" s="350">
        <f>'Top Customer Data'!G46</f>
        <v>1.6570640000000001</v>
      </c>
      <c r="H66" s="350">
        <f>'Top Customer Data'!H46</f>
        <v>3.2</v>
      </c>
      <c r="I66" s="663">
        <f>'Top Customer Data'!I46</f>
        <v>4.8320000000000007</v>
      </c>
    </row>
    <row r="67" spans="2:14" ht="12" customHeight="1">
      <c r="B67" s="353" t="s">
        <v>325</v>
      </c>
      <c r="D67" s="350">
        <f>'Top Customer Data'!D47</f>
        <v>0</v>
      </c>
      <c r="E67" s="350">
        <f>'Top Customer Data'!E47</f>
        <v>0</v>
      </c>
      <c r="F67" s="350">
        <f>'Top Customer Data'!F47</f>
        <v>0.13283</v>
      </c>
      <c r="G67" s="350">
        <f>'Top Customer Data'!G47</f>
        <v>0</v>
      </c>
      <c r="H67" s="350">
        <f>'Top Customer Data'!H47</f>
        <v>9.8000000000000004E-2</v>
      </c>
      <c r="I67" s="663">
        <f>'Top Customer Data'!I47</f>
        <v>0.16758000000000001</v>
      </c>
    </row>
    <row r="68" spans="2:14" ht="12" customHeight="1">
      <c r="B68" s="353" t="s">
        <v>326</v>
      </c>
      <c r="D68" s="350">
        <f>'Top Customer Data'!D48</f>
        <v>0</v>
      </c>
      <c r="E68" s="350">
        <f>'Top Customer Data'!E48</f>
        <v>0</v>
      </c>
      <c r="F68" s="350">
        <f>'Top Customer Data'!F48</f>
        <v>0</v>
      </c>
      <c r="G68" s="350">
        <f>'Top Customer Data'!G48</f>
        <v>0</v>
      </c>
      <c r="H68" s="350">
        <f>'Top Customer Data'!H48</f>
        <v>0.188</v>
      </c>
      <c r="I68" s="663">
        <f>'Top Customer Data'!I48</f>
        <v>0.42487999999999998</v>
      </c>
    </row>
    <row r="69" spans="2:14" ht="12" customHeight="1">
      <c r="B69" s="367" t="s">
        <v>327</v>
      </c>
      <c r="D69" s="352">
        <f t="shared" ref="D69:I69" si="8">SUM(D54:D68)</f>
        <v>24.332272749999998</v>
      </c>
      <c r="E69" s="352">
        <f t="shared" si="8"/>
        <v>19.728847000000002</v>
      </c>
      <c r="F69" s="352">
        <f t="shared" si="8"/>
        <v>25.394379999999995</v>
      </c>
      <c r="G69" s="352">
        <f t="shared" si="8"/>
        <v>30.239409999999999</v>
      </c>
      <c r="H69" s="352">
        <f t="shared" si="8"/>
        <v>38.134066000000004</v>
      </c>
      <c r="I69" s="665">
        <f t="shared" si="8"/>
        <v>42.893964660000009</v>
      </c>
    </row>
    <row r="70" spans="2:14" ht="12" customHeight="1">
      <c r="B70" s="361" t="s">
        <v>328</v>
      </c>
      <c r="E70" s="354">
        <f>E69/D69-1</f>
        <v>-0.18919012610525654</v>
      </c>
      <c r="F70" s="354">
        <f>F69/E69-1</f>
        <v>0.28717000035531681</v>
      </c>
      <c r="G70" s="354">
        <f>G69/F69-1</f>
        <v>0.19079142707953523</v>
      </c>
      <c r="H70" s="354">
        <f>H69/G69-1</f>
        <v>0.26107176032865742</v>
      </c>
      <c r="I70" s="664">
        <f>I69/H69-1</f>
        <v>0.12482011910295654</v>
      </c>
    </row>
    <row r="71" spans="2:14" ht="12" customHeight="1">
      <c r="B71" s="353"/>
    </row>
    <row r="72" spans="2:14" ht="12" customHeight="1">
      <c r="B72" s="353" t="s">
        <v>331</v>
      </c>
      <c r="D72" s="352">
        <f>'Top Customer Data'!D52</f>
        <v>57.537435990000006</v>
      </c>
      <c r="E72" s="352">
        <f>'Top Customer Data'!E52</f>
        <v>55.895759580000004</v>
      </c>
      <c r="F72" s="352">
        <f>'Top Customer Data'!F52</f>
        <v>60.153236600000014</v>
      </c>
      <c r="G72" s="352">
        <f>'Top Customer Data'!G52</f>
        <v>59.750486389999985</v>
      </c>
      <c r="H72" s="352">
        <f>'Top Customer Data'!H52</f>
        <v>64.415467747633699</v>
      </c>
      <c r="I72" s="665">
        <f>'Top Customer Data'!I52</f>
        <v>71.193220956747595</v>
      </c>
    </row>
    <row r="73" spans="2:14" ht="12" customHeight="1">
      <c r="B73" s="361" t="s">
        <v>328</v>
      </c>
      <c r="E73" s="354">
        <f>E72/D72-1</f>
        <v>-2.8532317816270525E-2</v>
      </c>
      <c r="F73" s="354">
        <f>F72/E72-1</f>
        <v>7.6168157513031964E-2</v>
      </c>
      <c r="G73" s="354">
        <f>G72/F72-1</f>
        <v>-6.6954038180553344E-3</v>
      </c>
      <c r="H73" s="354">
        <f>H72/G72-1</f>
        <v>7.8074366243392701E-2</v>
      </c>
      <c r="I73" s="664">
        <f>I72/H72-1</f>
        <v>0.10521934321221904</v>
      </c>
    </row>
    <row r="74" spans="2:14" ht="12" customHeight="1">
      <c r="B74" s="670" t="s">
        <v>337</v>
      </c>
      <c r="C74" s="349"/>
      <c r="D74" s="349"/>
      <c r="E74" s="671"/>
      <c r="F74" s="671"/>
      <c r="G74" s="671"/>
      <c r="H74" s="671"/>
      <c r="I74" s="672">
        <f t="shared" ref="I74:N74" si="9">I6</f>
        <v>2024</v>
      </c>
      <c r="J74" s="673">
        <f t="shared" si="9"/>
        <v>2025</v>
      </c>
      <c r="K74" s="673">
        <f t="shared" si="9"/>
        <v>2026</v>
      </c>
      <c r="L74" s="673">
        <f t="shared" si="9"/>
        <v>2027</v>
      </c>
      <c r="M74" s="673">
        <f t="shared" si="9"/>
        <v>2028</v>
      </c>
      <c r="N74" s="673">
        <f t="shared" si="9"/>
        <v>2029</v>
      </c>
    </row>
    <row r="75" spans="2:14" ht="4" customHeight="1" collapsed="1">
      <c r="B75" s="353"/>
    </row>
    <row r="76" spans="2:14" ht="12" customHeight="1">
      <c r="B76" s="371" t="s">
        <v>338</v>
      </c>
      <c r="C76" s="351"/>
      <c r="D76" s="352">
        <f t="shared" ref="D76:I76" si="10">D69+D72</f>
        <v>81.869708740000007</v>
      </c>
      <c r="E76" s="352">
        <f t="shared" si="10"/>
        <v>75.624606580000005</v>
      </c>
      <c r="F76" s="352">
        <f t="shared" si="10"/>
        <v>85.547616600000012</v>
      </c>
      <c r="G76" s="352">
        <f t="shared" si="10"/>
        <v>89.989896389999984</v>
      </c>
      <c r="H76" s="352">
        <f t="shared" si="10"/>
        <v>102.5495337476337</v>
      </c>
      <c r="I76" s="665">
        <f t="shared" si="10"/>
        <v>114.0871856167476</v>
      </c>
      <c r="J76" s="358">
        <f>I76*(1+J77)</f>
        <v>125.86906413509602</v>
      </c>
      <c r="K76" s="358">
        <f>J76*(1+K77)</f>
        <v>137.82896844668488</v>
      </c>
      <c r="L76" s="358">
        <f>K76*(1+L77)</f>
        <v>149.77183229954883</v>
      </c>
      <c r="M76" s="358">
        <f>L76*(1+M77)</f>
        <v>162.98588133458307</v>
      </c>
      <c r="N76" s="377">
        <f>M76*(1+N77)</f>
        <v>177.58611679110925</v>
      </c>
    </row>
    <row r="77" spans="2:14" ht="12" customHeight="1">
      <c r="B77" s="373" t="s">
        <v>328</v>
      </c>
      <c r="C77" s="374"/>
      <c r="D77" s="374"/>
      <c r="E77" s="375">
        <f>E76/D76-1</f>
        <v>-7.6280986656897198E-2</v>
      </c>
      <c r="F77" s="375">
        <f>F76/E76-1</f>
        <v>0.13121403824432298</v>
      </c>
      <c r="G77" s="375">
        <f>G76/F76-1</f>
        <v>5.1927569306471799E-2</v>
      </c>
      <c r="H77" s="375">
        <f>H76/G76-1</f>
        <v>0.13956719433482312</v>
      </c>
      <c r="I77" s="666">
        <f>I76/H76-1</f>
        <v>0.11250808704315673</v>
      </c>
      <c r="J77" s="378">
        <f>SUM(J78:J81)</f>
        <v>0.10327083146679784</v>
      </c>
      <c r="K77" s="378">
        <f>SUM(K78:K81)</f>
        <v>9.5018616319830773E-2</v>
      </c>
      <c r="L77" s="378">
        <f>SUM(L78:L81)</f>
        <v>8.6649882005637391E-2</v>
      </c>
      <c r="M77" s="378">
        <f>SUM(M78:M81)</f>
        <v>8.8227865227726368E-2</v>
      </c>
      <c r="N77" s="379">
        <f>SUM(N78:N81)</f>
        <v>8.9579755847405643E-2</v>
      </c>
    </row>
    <row r="78" spans="2:14" ht="12" customHeight="1">
      <c r="B78" s="669" t="s">
        <v>329</v>
      </c>
      <c r="J78" s="356">
        <f>J12</f>
        <v>0.14499999999999999</v>
      </c>
      <c r="K78" s="356">
        <f>K12</f>
        <v>0.14499999999999999</v>
      </c>
      <c r="L78" s="356">
        <f>L12</f>
        <v>0.14499999999999999</v>
      </c>
      <c r="M78" s="356">
        <f>M12</f>
        <v>0.14499999999999999</v>
      </c>
      <c r="N78" s="356">
        <f>N12</f>
        <v>0.14499999999999999</v>
      </c>
    </row>
    <row r="79" spans="2:14" ht="12" customHeight="1">
      <c r="B79" s="669" t="s">
        <v>339</v>
      </c>
      <c r="J79" s="357">
        <v>-7.0000000000000007E-2</v>
      </c>
      <c r="K79" s="357">
        <v>-7.0000000000000007E-2</v>
      </c>
      <c r="L79" s="357">
        <v>-7.0000000000000007E-2</v>
      </c>
      <c r="M79" s="357">
        <v>-7.0000000000000007E-2</v>
      </c>
      <c r="N79" s="357">
        <v>-7.0000000000000007E-2</v>
      </c>
    </row>
    <row r="80" spans="2:14" ht="12" customHeight="1">
      <c r="B80" s="669" t="s">
        <v>340</v>
      </c>
      <c r="J80" s="356">
        <f>J87</f>
        <v>1.8270831466797862E-2</v>
      </c>
      <c r="K80" s="356">
        <f>K87</f>
        <v>2.0018616319830793E-2</v>
      </c>
      <c r="L80" s="356">
        <f>L87</f>
        <v>2.1649882005637403E-2</v>
      </c>
      <c r="M80" s="356">
        <f>M87</f>
        <v>2.3227865227726376E-2</v>
      </c>
      <c r="N80" s="356">
        <f>N87</f>
        <v>2.4579755847405654E-2</v>
      </c>
    </row>
    <row r="81" spans="1:14" ht="12" customHeight="1">
      <c r="B81" s="669" t="s">
        <v>332</v>
      </c>
      <c r="J81" s="366">
        <v>0.01</v>
      </c>
      <c r="K81" s="366">
        <v>0</v>
      </c>
      <c r="L81" s="366">
        <v>-0.01</v>
      </c>
      <c r="M81" s="366">
        <v>-0.01</v>
      </c>
      <c r="N81" s="366">
        <v>-0.01</v>
      </c>
    </row>
    <row r="82" spans="1:14" ht="4" customHeight="1">
      <c r="B82" s="353"/>
    </row>
    <row r="83" spans="1:14" ht="12" customHeight="1">
      <c r="B83" s="369" t="s">
        <v>341</v>
      </c>
    </row>
    <row r="84" spans="1:14" ht="12" customHeight="1">
      <c r="B84" s="361" t="s">
        <v>342</v>
      </c>
      <c r="J84" s="350">
        <f>J42</f>
        <v>694.82258030829348</v>
      </c>
      <c r="K84" s="350">
        <f>K42</f>
        <v>719.92128613047498</v>
      </c>
      <c r="L84" s="350">
        <f>L42</f>
        <v>745.99522595736221</v>
      </c>
      <c r="M84" s="350">
        <f>M42</f>
        <v>773.0844301252348</v>
      </c>
      <c r="N84" s="350">
        <f>N42</f>
        <v>801.23063395565657</v>
      </c>
    </row>
    <row r="85" spans="1:14" ht="12" customHeight="1">
      <c r="B85" s="361" t="s">
        <v>343</v>
      </c>
      <c r="J85" s="365">
        <f>J137</f>
        <v>30</v>
      </c>
      <c r="K85" s="365">
        <f>K137</f>
        <v>35</v>
      </c>
      <c r="L85" s="365">
        <f>L137</f>
        <v>40</v>
      </c>
      <c r="M85" s="365">
        <f>M137</f>
        <v>45</v>
      </c>
      <c r="N85" s="365">
        <f>N137</f>
        <v>50</v>
      </c>
    </row>
    <row r="86" spans="1:14" ht="12" customHeight="1">
      <c r="B86" s="353" t="s">
        <v>337</v>
      </c>
      <c r="J86" s="355">
        <f>J84*J85/10000</f>
        <v>2.0844677409248806</v>
      </c>
      <c r="K86" s="355">
        <f>K84*K85/10000</f>
        <v>2.519724501456662</v>
      </c>
      <c r="L86" s="355">
        <f>L84*L85/10000</f>
        <v>2.9839809038294485</v>
      </c>
      <c r="M86" s="355">
        <f>M84*M85/10000</f>
        <v>3.4788799355635565</v>
      </c>
      <c r="N86" s="355">
        <f>N84*N85/10000</f>
        <v>4.0061531697782824</v>
      </c>
    </row>
    <row r="87" spans="1:14" ht="12" customHeight="1">
      <c r="B87" s="353" t="s">
        <v>344</v>
      </c>
      <c r="J87" s="354">
        <f>J86/I76</f>
        <v>1.8270831466797862E-2</v>
      </c>
      <c r="K87" s="354">
        <f>K86/J76</f>
        <v>2.0018616319830793E-2</v>
      </c>
      <c r="L87" s="354">
        <f>L86/K76</f>
        <v>2.1649882005637403E-2</v>
      </c>
      <c r="M87" s="354">
        <f>M86/L76</f>
        <v>2.3227865227726376E-2</v>
      </c>
      <c r="N87" s="354">
        <f>N86/M76</f>
        <v>2.4579755847405654E-2</v>
      </c>
    </row>
    <row r="88" spans="1:14" ht="4" customHeight="1">
      <c r="B88" s="353"/>
    </row>
    <row r="89" spans="1:14" ht="12" customHeight="1">
      <c r="A89" s="295" t="s">
        <v>1</v>
      </c>
      <c r="B89" s="349" t="s">
        <v>345</v>
      </c>
      <c r="C89" s="349"/>
      <c r="D89" s="349"/>
      <c r="E89" s="349"/>
      <c r="F89" s="349"/>
      <c r="G89" s="349"/>
      <c r="H89" s="349"/>
      <c r="I89" s="661"/>
      <c r="J89" s="349"/>
      <c r="K89" s="349"/>
      <c r="L89" s="349"/>
      <c r="M89" s="349"/>
      <c r="N89" s="349"/>
    </row>
    <row r="90" spans="1:14" ht="4" customHeight="1">
      <c r="B90" s="353"/>
    </row>
    <row r="91" spans="1:14" ht="12" customHeight="1">
      <c r="B91" s="371" t="s">
        <v>346</v>
      </c>
      <c r="C91" s="351"/>
      <c r="D91" s="352">
        <f>+'Top Customer Data'!D80</f>
        <v>152.63323968</v>
      </c>
      <c r="E91" s="352">
        <f>+'Top Customer Data'!E80</f>
        <v>196.02662136999999</v>
      </c>
      <c r="F91" s="352">
        <f>+'Top Customer Data'!F80</f>
        <v>299.11453921999998</v>
      </c>
      <c r="G91" s="352">
        <f>+'Top Customer Data'!G80</f>
        <v>339.43979614999989</v>
      </c>
      <c r="H91" s="352">
        <f>+'Top Customer Data'!H80</f>
        <v>340.65803442042852</v>
      </c>
      <c r="I91" s="665">
        <f>+'Top Customer Data'!I80</f>
        <v>349.78974180667569</v>
      </c>
      <c r="J91" s="358">
        <f>(1+J92)*I91</f>
        <v>369.72300018635116</v>
      </c>
      <c r="K91" s="358">
        <f>(1+K92)*J91</f>
        <v>398.53210712952324</v>
      </c>
      <c r="L91" s="358">
        <f>(1+L92)*K91</f>
        <v>445.85528990133309</v>
      </c>
      <c r="M91" s="358">
        <f>(1+M92)*L91</f>
        <v>507.97846511332608</v>
      </c>
      <c r="N91" s="377">
        <f>(1+N92)*M91</f>
        <v>578.95924980549205</v>
      </c>
    </row>
    <row r="92" spans="1:14" ht="12" customHeight="1">
      <c r="B92" s="380" t="s">
        <v>328</v>
      </c>
      <c r="C92" s="374"/>
      <c r="D92" s="374"/>
      <c r="E92" s="375">
        <f>E91/D91-1</f>
        <v>0.28429837289030524</v>
      </c>
      <c r="F92" s="375">
        <f>F91/E91-1</f>
        <v>0.5258873367787209</v>
      </c>
      <c r="G92" s="375">
        <f>G91/F91-1</f>
        <v>0.1348154357028446</v>
      </c>
      <c r="H92" s="375">
        <f>H91/G91-1</f>
        <v>3.5889671283277913E-3</v>
      </c>
      <c r="I92" s="666">
        <f>I91/H91-1</f>
        <v>2.6806082533127995E-2</v>
      </c>
      <c r="J92" s="378">
        <f>SUM(J93:J96)</f>
        <v>5.6986400678074534E-2</v>
      </c>
      <c r="K92" s="378">
        <f>SUM(K93:K96)</f>
        <v>7.7920786449994797E-2</v>
      </c>
      <c r="L92" s="378">
        <f>SUM(L93:L96)</f>
        <v>0.11874371455956453</v>
      </c>
      <c r="M92" s="378">
        <f>SUM(M93:M96)</f>
        <v>0.13933483939540292</v>
      </c>
      <c r="N92" s="379">
        <f>SUM(N93:N96)</f>
        <v>0.13973187756361036</v>
      </c>
    </row>
    <row r="93" spans="1:14" ht="12" customHeight="1">
      <c r="B93" s="361" t="s">
        <v>329</v>
      </c>
      <c r="J93" s="356">
        <f>J11</f>
        <v>0.13500000000000001</v>
      </c>
      <c r="K93" s="356">
        <f>K11</f>
        <v>0.13500000000000001</v>
      </c>
      <c r="L93" s="356">
        <f>L11</f>
        <v>0.13500000000000001</v>
      </c>
      <c r="M93" s="356">
        <f>M11</f>
        <v>0.13500000000000001</v>
      </c>
      <c r="N93" s="356">
        <f>N11</f>
        <v>0.13500000000000001</v>
      </c>
    </row>
    <row r="94" spans="1:14" ht="12" customHeight="1">
      <c r="B94" s="361" t="s">
        <v>347</v>
      </c>
      <c r="J94" s="370">
        <v>0</v>
      </c>
      <c r="K94" s="370">
        <v>0</v>
      </c>
      <c r="L94" s="370">
        <v>0</v>
      </c>
      <c r="M94" s="370">
        <v>0</v>
      </c>
      <c r="N94" s="370">
        <v>0</v>
      </c>
    </row>
    <row r="95" spans="1:14" ht="12" customHeight="1">
      <c r="B95" s="361" t="s">
        <v>348</v>
      </c>
      <c r="J95" s="370">
        <v>-0.08</v>
      </c>
      <c r="K95" s="370">
        <v>-0.06</v>
      </c>
      <c r="L95" s="370">
        <v>-0.02</v>
      </c>
      <c r="M95" s="370">
        <v>0</v>
      </c>
      <c r="N95" s="370">
        <v>0</v>
      </c>
    </row>
    <row r="96" spans="1:14" ht="12" customHeight="1">
      <c r="B96" s="361" t="s">
        <v>349</v>
      </c>
      <c r="J96" s="356">
        <f>J102</f>
        <v>1.9864006780745246E-3</v>
      </c>
      <c r="K96" s="356">
        <f>K102</f>
        <v>2.9207864499947813E-3</v>
      </c>
      <c r="L96" s="356">
        <f>L102</f>
        <v>3.7437145595645227E-3</v>
      </c>
      <c r="M96" s="356">
        <f>M102</f>
        <v>4.3348393954029171E-3</v>
      </c>
      <c r="N96" s="356">
        <f>N102</f>
        <v>4.7318775636103483E-3</v>
      </c>
    </row>
    <row r="97" spans="1:14" ht="4" customHeight="1"/>
    <row r="98" spans="1:14" ht="12" customHeight="1">
      <c r="B98" s="297" t="s">
        <v>350</v>
      </c>
    </row>
    <row r="99" spans="1:14" ht="12" customHeight="1">
      <c r="B99" s="361" t="s">
        <v>342</v>
      </c>
      <c r="J99" s="350">
        <f>J84</f>
        <v>694.82258030829348</v>
      </c>
      <c r="K99" s="350">
        <f>K84</f>
        <v>719.92128613047498</v>
      </c>
      <c r="L99" s="350">
        <f>L84</f>
        <v>745.99522595736221</v>
      </c>
      <c r="M99" s="350">
        <f>M84</f>
        <v>773.0844301252348</v>
      </c>
      <c r="N99" s="350">
        <f>N84</f>
        <v>801.23063395565657</v>
      </c>
    </row>
    <row r="100" spans="1:14" ht="12" customHeight="1">
      <c r="B100" s="361" t="s">
        <v>351</v>
      </c>
      <c r="J100" s="365">
        <f>J132</f>
        <v>10</v>
      </c>
      <c r="K100" s="365">
        <f>K132</f>
        <v>15</v>
      </c>
      <c r="L100" s="365">
        <f>L132</f>
        <v>20</v>
      </c>
      <c r="M100" s="365">
        <f>M132</f>
        <v>25</v>
      </c>
      <c r="N100" s="365">
        <f>N132</f>
        <v>30</v>
      </c>
    </row>
    <row r="101" spans="1:14" ht="12" customHeight="1">
      <c r="B101" s="353" t="s">
        <v>352</v>
      </c>
      <c r="J101" s="355">
        <f>J99*J100/10000</f>
        <v>0.69482258030829347</v>
      </c>
      <c r="K101" s="355">
        <f>K99*K100/10000</f>
        <v>1.0798819291957125</v>
      </c>
      <c r="L101" s="355">
        <f>L99*L100/10000</f>
        <v>1.4919904519147242</v>
      </c>
      <c r="M101" s="355">
        <f>M99*M100/10000</f>
        <v>1.9327110753130869</v>
      </c>
      <c r="N101" s="355">
        <f>N99*N100/10000</f>
        <v>2.4036919018669698</v>
      </c>
    </row>
    <row r="102" spans="1:14" ht="12" customHeight="1">
      <c r="B102" s="353" t="s">
        <v>344</v>
      </c>
      <c r="J102" s="354">
        <f>J101/I91</f>
        <v>1.9864006780745246E-3</v>
      </c>
      <c r="K102" s="354">
        <f>K101/J91</f>
        <v>2.9207864499947813E-3</v>
      </c>
      <c r="L102" s="354">
        <f>L101/K91</f>
        <v>3.7437145595645227E-3</v>
      </c>
      <c r="M102" s="354">
        <f>M101/L91</f>
        <v>4.3348393954029171E-3</v>
      </c>
      <c r="N102" s="354">
        <f>N101/M91</f>
        <v>4.7318775636103483E-3</v>
      </c>
    </row>
    <row r="104" spans="1:14" ht="12" customHeight="1">
      <c r="B104" s="295" t="s">
        <v>353</v>
      </c>
      <c r="D104" s="350">
        <f>'Top Customer Data'!D74</f>
        <v>102.044398</v>
      </c>
      <c r="E104" s="350">
        <f>'Top Customer Data'!E74</f>
        <v>135.56815</v>
      </c>
      <c r="F104" s="350">
        <f>'Top Customer Data'!F74</f>
        <v>224.51887249999999</v>
      </c>
      <c r="G104" s="350">
        <f>'Top Customer Data'!G74</f>
        <v>255.26094200000003</v>
      </c>
      <c r="H104" s="350">
        <f>'Top Customer Data'!H74</f>
        <v>255.091917</v>
      </c>
      <c r="I104" s="663">
        <f>'Top Customer Data'!I74</f>
        <v>254.81135147000001</v>
      </c>
    </row>
    <row r="105" spans="1:14" ht="12" customHeight="1">
      <c r="E105" s="354">
        <f>E104/D104-1</f>
        <v>0.32852123837312464</v>
      </c>
      <c r="F105" s="354">
        <f>F104/E104-1</f>
        <v>0.65613289330864211</v>
      </c>
      <c r="G105" s="354">
        <f>G104/F104-1</f>
        <v>0.1369242111261717</v>
      </c>
      <c r="H105" s="354">
        <f>H104/G104-1</f>
        <v>-6.6216554195763777E-4</v>
      </c>
      <c r="I105" s="664">
        <f>I104/H104-1</f>
        <v>-1.099860525960894E-3</v>
      </c>
    </row>
    <row r="107" spans="1:14" ht="12" customHeight="1">
      <c r="B107" s="295" t="s">
        <v>354</v>
      </c>
      <c r="D107" s="350">
        <f>'Top Customer Data'!D77</f>
        <v>50.588841680000002</v>
      </c>
      <c r="E107" s="350">
        <f>'Top Customer Data'!E77</f>
        <v>60.458471369999984</v>
      </c>
      <c r="F107" s="350">
        <f>'Top Customer Data'!F77</f>
        <v>74.595666719999997</v>
      </c>
      <c r="G107" s="350">
        <f>'Top Customer Data'!G77</f>
        <v>84.178854149999864</v>
      </c>
      <c r="H107" s="350">
        <f>'Top Customer Data'!H77</f>
        <v>85.566117420428526</v>
      </c>
      <c r="I107" s="663">
        <f>'Top Customer Data'!I77</f>
        <v>94.978390336675687</v>
      </c>
    </row>
    <row r="108" spans="1:14" ht="12" customHeight="1">
      <c r="E108" s="354">
        <f>E107/D107-1</f>
        <v>0.19509499253670159</v>
      </c>
      <c r="F108" s="354">
        <f>F107/E107-1</f>
        <v>0.23383315902054069</v>
      </c>
      <c r="G108" s="354">
        <f>G107/F107-1</f>
        <v>0.12846841983423807</v>
      </c>
      <c r="H108" s="354">
        <f>H107/G107-1</f>
        <v>1.6479949560214591E-2</v>
      </c>
      <c r="I108" s="664">
        <f>I107/H107-1</f>
        <v>0.11000000000000032</v>
      </c>
    </row>
    <row r="109" spans="1:14" ht="12" customHeight="1" collapsed="1">
      <c r="E109" s="354"/>
      <c r="F109" s="354"/>
      <c r="G109" s="354"/>
      <c r="H109" s="354"/>
      <c r="I109" s="664"/>
    </row>
    <row r="110" spans="1:14" ht="12" customHeight="1">
      <c r="A110" s="295" t="s">
        <v>1</v>
      </c>
      <c r="B110" s="349" t="s">
        <v>355</v>
      </c>
      <c r="C110" s="349"/>
      <c r="D110" s="349"/>
      <c r="E110" s="349"/>
      <c r="F110" s="349"/>
      <c r="G110" s="349"/>
      <c r="H110" s="349"/>
      <c r="I110" s="661"/>
      <c r="J110" s="349"/>
      <c r="K110" s="349"/>
      <c r="L110" s="349"/>
      <c r="M110" s="349"/>
      <c r="N110" s="349"/>
    </row>
    <row r="111" spans="1:14" ht="4" customHeight="1"/>
    <row r="112" spans="1:14" ht="12" customHeight="1">
      <c r="B112" s="381" t="s">
        <v>356</v>
      </c>
      <c r="C112" s="351"/>
      <c r="D112" s="352">
        <f>'Top Customer Data'!D105</f>
        <v>100.7915224300003</v>
      </c>
      <c r="E112" s="352">
        <f>'Top Customer Data'!E105</f>
        <v>114.6872870400001</v>
      </c>
      <c r="F112" s="352">
        <f>'Top Customer Data'!F105</f>
        <v>121.81334399000001</v>
      </c>
      <c r="G112" s="352">
        <f>'Top Customer Data'!G105</f>
        <v>133.65576365999999</v>
      </c>
      <c r="H112" s="352">
        <f>'Top Customer Data'!H105</f>
        <v>145.33304233784401</v>
      </c>
      <c r="I112" s="665">
        <f>'Top Customer Data'!I105</f>
        <v>153.83050752122449</v>
      </c>
      <c r="J112" s="352">
        <f>I112*(1+J113)</f>
        <v>158.83775490505263</v>
      </c>
      <c r="K112" s="352">
        <f>J112*(1+K113)</f>
        <v>164.37539674970529</v>
      </c>
      <c r="L112" s="352">
        <f>K112*(1+L113)</f>
        <v>170.48251019177914</v>
      </c>
      <c r="M112" s="352">
        <f>L112*(1+M113)</f>
        <v>177.20055782098649</v>
      </c>
      <c r="N112" s="372">
        <f>M112*(1+N113)</f>
        <v>184.57352158936351</v>
      </c>
    </row>
    <row r="113" spans="2:14" ht="12" customHeight="1">
      <c r="B113" s="382" t="s">
        <v>328</v>
      </c>
      <c r="C113" s="374"/>
      <c r="D113" s="374"/>
      <c r="E113" s="375">
        <f>E112/D112-1</f>
        <v>0.13786640259998473</v>
      </c>
      <c r="F113" s="375">
        <f>F112/E112-1</f>
        <v>6.2134671888389059E-2</v>
      </c>
      <c r="G113" s="375">
        <f>G112/F112-1</f>
        <v>9.7217753672144136E-2</v>
      </c>
      <c r="H113" s="375">
        <f>H112/G112-1</f>
        <v>8.7368313629550887E-2</v>
      </c>
      <c r="I113" s="666">
        <f>I112/H112-1</f>
        <v>5.8468914203468669E-2</v>
      </c>
      <c r="J113" s="378">
        <f>SUM(J114:J116)</f>
        <v>3.25504184086325E-2</v>
      </c>
      <c r="K113" s="378">
        <f>SUM(K114:K116)</f>
        <v>3.4863511184496793E-2</v>
      </c>
      <c r="L113" s="378">
        <f>SUM(L114:L116)</f>
        <v>3.7153452176137781E-2</v>
      </c>
      <c r="M113" s="378">
        <f>SUM(M114:M116)</f>
        <v>3.9406081137883853E-2</v>
      </c>
      <c r="N113" s="379">
        <f>SUM(N114:N116)</f>
        <v>4.160801669611798E-2</v>
      </c>
    </row>
    <row r="114" spans="2:14" ht="12" customHeight="1">
      <c r="B114" s="353" t="s">
        <v>329</v>
      </c>
      <c r="J114" s="356">
        <f>J10</f>
        <v>1.4E-2</v>
      </c>
      <c r="K114" s="356">
        <f>K10</f>
        <v>1.4E-2</v>
      </c>
      <c r="L114" s="356">
        <f>L10</f>
        <v>1.4E-2</v>
      </c>
      <c r="M114" s="356">
        <f>M10</f>
        <v>1.4E-2</v>
      </c>
      <c r="N114" s="356">
        <f>N10</f>
        <v>1.4E-2</v>
      </c>
    </row>
    <row r="115" spans="2:14" ht="12" customHeight="1">
      <c r="B115" s="353" t="s">
        <v>332</v>
      </c>
      <c r="J115" s="359">
        <v>5.0000000000000001E-3</v>
      </c>
      <c r="K115" s="359">
        <v>5.0000000000000001E-3</v>
      </c>
      <c r="L115" s="359">
        <v>5.0000000000000001E-3</v>
      </c>
      <c r="M115" s="359">
        <v>5.0000000000000001E-3</v>
      </c>
      <c r="N115" s="359">
        <v>5.0000000000000001E-3</v>
      </c>
    </row>
    <row r="116" spans="2:14" ht="12" customHeight="1">
      <c r="B116" s="353" t="s">
        <v>349</v>
      </c>
      <c r="J116" s="356">
        <f>J122</f>
        <v>1.3550418408632501E-2</v>
      </c>
      <c r="K116" s="356">
        <f>K122</f>
        <v>1.586351118449679E-2</v>
      </c>
      <c r="L116" s="356">
        <f>L122</f>
        <v>1.8153452176137782E-2</v>
      </c>
      <c r="M116" s="356">
        <f>M122</f>
        <v>2.0406081137883857E-2</v>
      </c>
      <c r="N116" s="356">
        <f>N122</f>
        <v>2.2608016696117981E-2</v>
      </c>
    </row>
    <row r="117" spans="2:14" ht="12" customHeight="1">
      <c r="B117" s="296"/>
    </row>
    <row r="118" spans="2:14" ht="12" customHeight="1">
      <c r="B118" s="297" t="s">
        <v>350</v>
      </c>
    </row>
    <row r="119" spans="2:14" ht="12" customHeight="1">
      <c r="B119" s="361" t="s">
        <v>342</v>
      </c>
      <c r="J119" s="350">
        <f>J99</f>
        <v>694.82258030829348</v>
      </c>
      <c r="K119" s="350">
        <f>K99</f>
        <v>719.92128613047498</v>
      </c>
      <c r="L119" s="350">
        <f>L99</f>
        <v>745.99522595736221</v>
      </c>
      <c r="M119" s="350">
        <f>M99</f>
        <v>773.0844301252348</v>
      </c>
      <c r="N119" s="350">
        <f>N99</f>
        <v>801.23063395565657</v>
      </c>
    </row>
    <row r="120" spans="2:14" ht="12" customHeight="1">
      <c r="B120" s="361" t="s">
        <v>357</v>
      </c>
      <c r="J120" s="365">
        <f>J137</f>
        <v>30</v>
      </c>
      <c r="K120" s="365">
        <f>K137</f>
        <v>35</v>
      </c>
      <c r="L120" s="365">
        <f>L137</f>
        <v>40</v>
      </c>
      <c r="M120" s="365">
        <f>M137</f>
        <v>45</v>
      </c>
      <c r="N120" s="365">
        <f>N137</f>
        <v>50</v>
      </c>
    </row>
    <row r="121" spans="2:14" ht="12" customHeight="1">
      <c r="B121" s="353" t="s">
        <v>358</v>
      </c>
      <c r="J121" s="355">
        <f>J119*J120/10000</f>
        <v>2.0844677409248806</v>
      </c>
      <c r="K121" s="355">
        <f>K119*K120/10000</f>
        <v>2.519724501456662</v>
      </c>
      <c r="L121" s="355">
        <f>L119*L120/10000</f>
        <v>2.9839809038294485</v>
      </c>
      <c r="M121" s="355">
        <f>M119*M120/10000</f>
        <v>3.4788799355635565</v>
      </c>
      <c r="N121" s="355">
        <f>N119*N120/10000</f>
        <v>4.0061531697782824</v>
      </c>
    </row>
    <row r="122" spans="2:14" ht="12" customHeight="1">
      <c r="B122" s="353" t="s">
        <v>344</v>
      </c>
      <c r="J122" s="354">
        <f>J121/I112</f>
        <v>1.3550418408632501E-2</v>
      </c>
      <c r="K122" s="354">
        <f>K121/J112</f>
        <v>1.586351118449679E-2</v>
      </c>
      <c r="L122" s="354">
        <f>L121/K112</f>
        <v>1.8153452176137782E-2</v>
      </c>
      <c r="M122" s="354">
        <f>M121/L112</f>
        <v>2.0406081137883857E-2</v>
      </c>
      <c r="N122" s="354">
        <f>N121/M112</f>
        <v>2.2608016696117981E-2</v>
      </c>
    </row>
    <row r="130" spans="2:14" ht="12" customHeight="1">
      <c r="B130" s="295" t="s">
        <v>359</v>
      </c>
    </row>
    <row r="132" spans="2:14" ht="12" customHeight="1">
      <c r="B132" s="295" t="s">
        <v>254</v>
      </c>
      <c r="J132" s="295">
        <f>IF(XSell="None",J133,IF(XSell="Base",J134,IF(XSell="High",J135)))</f>
        <v>10</v>
      </c>
      <c r="K132" s="295">
        <f>IF(XSell="None",K133,IF(XSell="Base",K134,IF(XSell="High",K135)))</f>
        <v>15</v>
      </c>
      <c r="L132" s="295">
        <f>IF(XSell="None",L133,IF(XSell="Base",L134,IF(XSell="High",L135)))</f>
        <v>20</v>
      </c>
      <c r="M132" s="295">
        <f>IF(XSell="None",M133,IF(XSell="Base",M134,IF(XSell="High",M135)))</f>
        <v>25</v>
      </c>
      <c r="N132" s="295">
        <f>IF(XSell="None",N133,IF(XSell="Base",N134,IF(XSell="High",N135)))</f>
        <v>30</v>
      </c>
    </row>
    <row r="133" spans="2:14" ht="12" customHeight="1">
      <c r="B133" s="295" t="s">
        <v>360</v>
      </c>
      <c r="J133" s="365">
        <v>0</v>
      </c>
      <c r="K133" s="365">
        <v>0</v>
      </c>
      <c r="L133" s="365">
        <v>0</v>
      </c>
      <c r="M133" s="365">
        <v>0</v>
      </c>
      <c r="N133" s="365">
        <v>0</v>
      </c>
    </row>
    <row r="134" spans="2:14" ht="12" customHeight="1">
      <c r="B134" s="295" t="s">
        <v>46</v>
      </c>
      <c r="J134" s="365">
        <v>10</v>
      </c>
      <c r="K134" s="365">
        <f t="shared" ref="K134:N135" si="11">J134+5</f>
        <v>15</v>
      </c>
      <c r="L134" s="365">
        <f t="shared" si="11"/>
        <v>20</v>
      </c>
      <c r="M134" s="365">
        <f t="shared" si="11"/>
        <v>25</v>
      </c>
      <c r="N134" s="365">
        <f t="shared" si="11"/>
        <v>30</v>
      </c>
    </row>
    <row r="135" spans="2:14" ht="12" customHeight="1">
      <c r="B135" s="295" t="s">
        <v>361</v>
      </c>
      <c r="J135" s="365">
        <v>30</v>
      </c>
      <c r="K135" s="365">
        <f t="shared" si="11"/>
        <v>35</v>
      </c>
      <c r="L135" s="365">
        <f t="shared" si="11"/>
        <v>40</v>
      </c>
      <c r="M135" s="365">
        <f t="shared" si="11"/>
        <v>45</v>
      </c>
      <c r="N135" s="365">
        <f t="shared" si="11"/>
        <v>50</v>
      </c>
    </row>
    <row r="137" spans="2:14" ht="12" customHeight="1">
      <c r="B137" s="295" t="s">
        <v>336</v>
      </c>
      <c r="J137" s="295">
        <f>IF(XSell="None",J138,IF(XSell="Base",J139,IF(XSell="High",J140)))</f>
        <v>30</v>
      </c>
      <c r="K137" s="295">
        <f>IF(XSell="None",K138,IF(XSell="Base",K139,IF(XSell="High",K140)))</f>
        <v>35</v>
      </c>
      <c r="L137" s="295">
        <f>IF(XSell="None",L138,IF(XSell="Base",L139,IF(XSell="High",L140)))</f>
        <v>40</v>
      </c>
      <c r="M137" s="295">
        <f>IF(XSell="None",M138,IF(XSell="Base",M139,IF(XSell="High",M140)))</f>
        <v>45</v>
      </c>
      <c r="N137" s="295">
        <f>IF(XSell="None",N138,IF(XSell="Base",N139,IF(XSell="High",N140)))</f>
        <v>50</v>
      </c>
    </row>
    <row r="138" spans="2:14" ht="12" customHeight="1">
      <c r="B138" s="295" t="s">
        <v>360</v>
      </c>
      <c r="J138" s="365">
        <v>0</v>
      </c>
      <c r="K138" s="365">
        <v>0</v>
      </c>
      <c r="L138" s="365">
        <v>0</v>
      </c>
      <c r="M138" s="365">
        <v>0</v>
      </c>
      <c r="N138" s="365">
        <v>0</v>
      </c>
    </row>
    <row r="139" spans="2:14" ht="12" customHeight="1">
      <c r="B139" s="295" t="s">
        <v>46</v>
      </c>
      <c r="J139" s="365">
        <v>30</v>
      </c>
      <c r="K139" s="365">
        <f>J139+5</f>
        <v>35</v>
      </c>
      <c r="L139" s="365">
        <f>K139+5</f>
        <v>40</v>
      </c>
      <c r="M139" s="365">
        <f>L139+5</f>
        <v>45</v>
      </c>
      <c r="N139" s="365">
        <f>M139+5</f>
        <v>50</v>
      </c>
    </row>
    <row r="140" spans="2:14" ht="12" customHeight="1">
      <c r="B140" s="295" t="s">
        <v>361</v>
      </c>
      <c r="J140" s="365">
        <v>50</v>
      </c>
      <c r="K140" s="365">
        <v>75</v>
      </c>
      <c r="L140" s="365">
        <v>75</v>
      </c>
      <c r="M140" s="365">
        <v>100</v>
      </c>
      <c r="N140" s="365">
        <v>100</v>
      </c>
    </row>
  </sheetData>
  <pageMargins left="0.7" right="0.7" top="0.75" bottom="0.75" header="0.3" footer="0.3"/>
  <pageSetup orientation="portrait" horizontalDpi="1200" verticalDpi="12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52"/>
  <sheetViews>
    <sheetView showGridLines="0" tabSelected="1" zoomScale="113" zoomScaleNormal="85" workbookViewId="0">
      <selection activeCell="B39" sqref="B39"/>
    </sheetView>
  </sheetViews>
  <sheetFormatPr defaultColWidth="9" defaultRowHeight="12" customHeight="1" outlineLevelCol="1"/>
  <cols>
    <col min="1" max="1" width="9" style="643" customWidth="1"/>
    <col min="2" max="2" width="44.1640625" style="643" bestFit="1" customWidth="1"/>
    <col min="3" max="3" width="15.83203125" style="643" customWidth="1" outlineLevel="1"/>
    <col min="4" max="4" width="15" style="643" customWidth="1" outlineLevel="1"/>
    <col min="5" max="5" width="12.6640625" style="643" customWidth="1" outlineLevel="1"/>
    <col min="6" max="8" width="9" style="643" customWidth="1" outlineLevel="1"/>
    <col min="9" max="9" width="9" style="644" customWidth="1" outlineLevel="1"/>
    <col min="10" max="15" width="9" style="643" customWidth="1"/>
    <col min="16" max="16" width="8.5" style="643" customWidth="1"/>
    <col min="17" max="17" width="4.33203125" style="643" bestFit="1" customWidth="1"/>
    <col min="18" max="18" width="9" style="643" customWidth="1"/>
    <col min="19" max="19" width="20.1640625" style="643" bestFit="1" customWidth="1"/>
    <col min="20" max="20" width="9" style="643" customWidth="1"/>
    <col min="21" max="16384" width="9" style="643"/>
  </cols>
  <sheetData>
    <row r="1" spans="1:38" ht="12" customHeight="1">
      <c r="AL1" s="644"/>
    </row>
    <row r="2" spans="1:38" ht="12" customHeight="1">
      <c r="B2" s="643" t="s">
        <v>0</v>
      </c>
      <c r="C2" s="643" t="str">
        <f>CRT</f>
        <v>Base</v>
      </c>
      <c r="J2" s="643">
        <v>1</v>
      </c>
      <c r="K2" s="643">
        <v>2</v>
      </c>
      <c r="L2" s="643">
        <v>3</v>
      </c>
      <c r="M2" s="643">
        <v>4</v>
      </c>
      <c r="N2" s="643">
        <v>5</v>
      </c>
      <c r="AL2" s="644"/>
    </row>
    <row r="3" spans="1:38" ht="12" customHeight="1">
      <c r="AL3" s="644"/>
    </row>
    <row r="4" spans="1:38" ht="12" customHeight="1">
      <c r="A4" s="424" t="s">
        <v>1</v>
      </c>
      <c r="B4" s="674" t="s">
        <v>2</v>
      </c>
      <c r="C4" s="675"/>
      <c r="D4" s="674"/>
      <c r="E4" s="674"/>
      <c r="F4" s="674"/>
      <c r="G4" s="674"/>
      <c r="H4" s="676"/>
      <c r="I4" s="676"/>
      <c r="J4" s="674"/>
      <c r="K4" s="674"/>
      <c r="L4" s="674"/>
      <c r="M4" s="674"/>
      <c r="N4" s="674"/>
      <c r="P4" s="736"/>
      <c r="Q4" s="736"/>
      <c r="R4" s="736"/>
      <c r="S4" s="736"/>
      <c r="T4" s="736"/>
      <c r="AL4" s="644"/>
    </row>
    <row r="5" spans="1:38" ht="16" customHeight="1">
      <c r="B5" s="677"/>
      <c r="C5" s="677"/>
      <c r="D5" s="678">
        <v>43830</v>
      </c>
      <c r="E5" s="678">
        <f>EOMONTH(D5,12)</f>
        <v>44196</v>
      </c>
      <c r="F5" s="678">
        <f>EOMONTH(E5,12)</f>
        <v>44561</v>
      </c>
      <c r="G5" s="678">
        <f>EOMONTH(F5,12)</f>
        <v>44926</v>
      </c>
      <c r="H5" s="678">
        <f>EOMONTH(G5,12)</f>
        <v>45291</v>
      </c>
      <c r="I5" s="679">
        <f>EOMONTH(H5,12)</f>
        <v>45657</v>
      </c>
      <c r="J5" s="680" t="s">
        <v>3</v>
      </c>
      <c r="K5" s="678" t="s">
        <v>4</v>
      </c>
      <c r="L5" s="678" t="s">
        <v>5</v>
      </c>
      <c r="M5" s="678" t="s">
        <v>6</v>
      </c>
      <c r="N5" s="678" t="s">
        <v>7</v>
      </c>
      <c r="P5" s="736"/>
      <c r="Q5" s="736"/>
      <c r="R5" s="737" t="s">
        <v>8</v>
      </c>
      <c r="S5" s="736"/>
      <c r="T5" s="734"/>
    </row>
    <row r="6" spans="1:38" ht="12" customHeight="1">
      <c r="B6" s="677" t="s">
        <v>9</v>
      </c>
      <c r="C6" s="677"/>
      <c r="D6" s="681"/>
      <c r="E6" s="681">
        <v>1.8641567328514071E-2</v>
      </c>
      <c r="F6" s="681">
        <v>3.2411962043293281E-2</v>
      </c>
      <c r="G6" s="681">
        <v>3.9775653031783591E-2</v>
      </c>
      <c r="H6" s="681">
        <v>4.9284698267998153E-2</v>
      </c>
      <c r="I6" s="682">
        <v>6.2454615438435647E-2</v>
      </c>
      <c r="J6" s="683">
        <f>I20</f>
        <v>6.2454615438435647E-2</v>
      </c>
      <c r="K6" s="684">
        <f>J20</f>
        <v>7.1704615438435648E-2</v>
      </c>
      <c r="L6" s="684">
        <f>K20</f>
        <v>8.0954615438435643E-2</v>
      </c>
      <c r="M6" s="684">
        <f>L20</f>
        <v>8.478794877176897E-2</v>
      </c>
      <c r="N6" s="684">
        <f>M20</f>
        <v>8.8621282105102298E-2</v>
      </c>
      <c r="P6" s="83"/>
      <c r="Q6" s="83"/>
      <c r="R6" s="83"/>
      <c r="S6" s="83"/>
      <c r="T6" s="83"/>
    </row>
    <row r="7" spans="1:38" ht="12" customHeight="1">
      <c r="B7" s="685" t="s">
        <v>10</v>
      </c>
      <c r="C7" s="677"/>
      <c r="D7" s="686"/>
      <c r="E7" s="686"/>
      <c r="F7" s="686"/>
      <c r="G7" s="686"/>
      <c r="H7" s="686"/>
      <c r="I7" s="677"/>
      <c r="J7" s="687">
        <f t="array" ref="J7">_xlfn.IFS($E$35=0,0,$E$35=1,$D$35,$E$35=2,$D$36)</f>
        <v>40</v>
      </c>
      <c r="K7" s="687">
        <f t="array" ref="K7">_xlfn.IFS($E$35=0,0,$E$35=1,$D$35,$E$35=2,$D$36)</f>
        <v>40</v>
      </c>
      <c r="L7" s="688"/>
      <c r="M7" s="688"/>
      <c r="N7" s="688"/>
      <c r="P7" s="83"/>
      <c r="Q7" s="738" t="s">
        <v>11</v>
      </c>
      <c r="R7" s="739" t="s">
        <v>12</v>
      </c>
      <c r="S7" s="740" t="s">
        <v>13</v>
      </c>
      <c r="T7" s="83"/>
      <c r="AL7" s="644"/>
    </row>
    <row r="8" spans="1:38" ht="12" customHeight="1">
      <c r="B8" s="685" t="s">
        <v>14</v>
      </c>
      <c r="C8" s="677"/>
      <c r="D8" s="686"/>
      <c r="E8" s="686"/>
      <c r="F8" s="686"/>
      <c r="G8" s="686"/>
      <c r="H8" s="686"/>
      <c r="I8" s="677"/>
      <c r="J8" s="687">
        <f t="array" ref="J8">_xlfn.IFS($E$39=0,0,$E$39=1,$D$39,$E$39=2,$D$40)</f>
        <v>17.5</v>
      </c>
      <c r="K8" s="687">
        <f t="array" ref="K8">_xlfn.IFS($E$39=0,0,$E$39=1,$D$39,$E$39=2,$D$40)</f>
        <v>17.5</v>
      </c>
      <c r="L8" s="688"/>
      <c r="M8" s="688"/>
      <c r="N8" s="688"/>
      <c r="P8" s="83"/>
      <c r="Q8" s="741">
        <v>1</v>
      </c>
      <c r="R8" s="742">
        <f>INDEX($J$19:$N$19,MATCH($Q8,$J$2:$N$2,0))</f>
        <v>92.5</v>
      </c>
      <c r="S8" s="743">
        <f>INDEX($J$20:$N$20,MATCH($Q8,$J$2:$N$2,0))</f>
        <v>7.1704615438435648E-2</v>
      </c>
      <c r="T8" s="83"/>
      <c r="AL8" s="644"/>
    </row>
    <row r="9" spans="1:38" ht="12" customHeight="1">
      <c r="B9" s="685" t="s">
        <v>15</v>
      </c>
      <c r="C9" s="677"/>
      <c r="D9" s="686"/>
      <c r="E9" s="686"/>
      <c r="F9" s="686"/>
      <c r="G9" s="686"/>
      <c r="H9" s="686"/>
      <c r="I9" s="677"/>
      <c r="J9" s="687">
        <f t="array" ref="J9">_xlfn.IFS($E$43=0,0,$E$43=1,$D$43,$E$43=2,$D$44)</f>
        <v>15</v>
      </c>
      <c r="K9" s="687">
        <f t="array" ref="K9">_xlfn.IFS($E$43=0,0,$E$43=1,$D$43,$E$43=2,$D$44)</f>
        <v>15</v>
      </c>
      <c r="L9" s="688"/>
      <c r="M9" s="688"/>
      <c r="N9" s="688"/>
      <c r="P9" s="83"/>
      <c r="Q9" s="741">
        <v>2</v>
      </c>
      <c r="R9" s="742">
        <f>INDEX($J$19:$N$19,MATCH($Q9,$J$2:$N$2,0))</f>
        <v>92.5</v>
      </c>
      <c r="S9" s="743">
        <f>INDEX($J$20:$N$20,MATCH($Q9,$J$2:$N$2,0))</f>
        <v>8.0954615438435643E-2</v>
      </c>
      <c r="T9" s="83"/>
      <c r="AL9" s="644"/>
    </row>
    <row r="10" spans="1:38" ht="12" customHeight="1">
      <c r="B10" s="685" t="s">
        <v>16</v>
      </c>
      <c r="C10" s="677"/>
      <c r="D10" s="686"/>
      <c r="E10" s="686"/>
      <c r="F10" s="686"/>
      <c r="G10" s="686"/>
      <c r="H10" s="686"/>
      <c r="I10" s="677"/>
      <c r="J10" s="687">
        <f t="array" ref="J10">_xlfn.IFS($E$47=0,0,$E$47=1,$D$47,$E$47=2,$D$48)</f>
        <v>10</v>
      </c>
      <c r="K10" s="687">
        <f t="array" ref="K10">_xlfn.IFS($E$47=0,0,$E$47=1,$D$47,$E$47=2,$D$48)</f>
        <v>10</v>
      </c>
      <c r="L10" s="688"/>
      <c r="M10" s="688"/>
      <c r="N10" s="688"/>
      <c r="P10" s="83"/>
      <c r="Q10" s="741">
        <v>3</v>
      </c>
      <c r="R10" s="742">
        <f>INDEX($J$19:$N$19,MATCH($Q10,$J$2:$N$2,0))</f>
        <v>38.333333333333336</v>
      </c>
      <c r="S10" s="743">
        <f>INDEX($J$20:$N$20,MATCH($Q10,$J$2:$N$2,0))</f>
        <v>8.478794877176897E-2</v>
      </c>
      <c r="T10" s="83"/>
      <c r="AL10" s="644"/>
    </row>
    <row r="11" spans="1:38" ht="12" customHeight="1">
      <c r="B11" s="685" t="s">
        <v>17</v>
      </c>
      <c r="C11" s="677"/>
      <c r="D11" s="686"/>
      <c r="E11" s="686"/>
      <c r="F11" s="686"/>
      <c r="G11" s="686"/>
      <c r="H11" s="686"/>
      <c r="I11" s="677"/>
      <c r="J11" s="687">
        <f t="array" ref="J11">_xlfn.IFS($E$51=0,0,$E$51=1,$D$51,$E$51=2,$D$52)</f>
        <v>10</v>
      </c>
      <c r="K11" s="687">
        <f t="array" ref="K11">_xlfn.IFS($E$51=0,0,$E$51=1,$D$51,$E$51=2,$D$52)</f>
        <v>10</v>
      </c>
      <c r="L11" s="688"/>
      <c r="M11" s="688"/>
      <c r="N11" s="688"/>
      <c r="P11" s="83"/>
      <c r="Q11" s="741">
        <v>4</v>
      </c>
      <c r="R11" s="742">
        <f>INDEX($J$19:$N$19,MATCH($Q11,$J$2:$N$2,0))</f>
        <v>38.333333333333336</v>
      </c>
      <c r="S11" s="743">
        <f>INDEX($J$20:$N$20,MATCH($Q11,$J$2:$N$2,0))</f>
        <v>8.8621282105102298E-2</v>
      </c>
      <c r="T11" s="83"/>
      <c r="AL11" s="644"/>
    </row>
    <row r="12" spans="1:38" ht="12" customHeight="1">
      <c r="B12" s="685" t="s">
        <v>18</v>
      </c>
      <c r="C12" s="677"/>
      <c r="D12" s="686"/>
      <c r="E12" s="686"/>
      <c r="F12" s="686"/>
      <c r="G12" s="686"/>
      <c r="H12" s="686"/>
      <c r="I12" s="689"/>
      <c r="J12" s="688"/>
      <c r="K12" s="688"/>
      <c r="L12" s="687">
        <f t="array" ref="L12">_xlfn.IFS($E$23=0,0,$E$23=1,$D$23,$E$23=2,$D$24)</f>
        <v>25</v>
      </c>
      <c r="M12" s="687">
        <f t="array" ref="M12">_xlfn.IFS($E$23=0,0,$E$23=1,$D$23,$E$23=2,$D$24)</f>
        <v>25</v>
      </c>
      <c r="N12" s="687">
        <f t="array" ref="N12">_xlfn.IFS($E$23=0,0,$E$23=1,$D$23,$E$23=2,$D$24)</f>
        <v>25</v>
      </c>
      <c r="P12" s="83"/>
      <c r="Q12" s="744">
        <v>5</v>
      </c>
      <c r="R12" s="745">
        <f>INDEX($J$19:$N$19,MATCH($Q12,$J$2:$N$2,0))</f>
        <v>38.333333333333336</v>
      </c>
      <c r="S12" s="746">
        <f>INDEX($J$20:$N$20,MATCH($Q12,$J$2:$N$2,0))</f>
        <v>9.2454615438435625E-2</v>
      </c>
      <c r="T12" s="83"/>
      <c r="AL12" s="644"/>
    </row>
    <row r="13" spans="1:38" ht="12" customHeight="1">
      <c r="B13" s="685" t="s">
        <v>19</v>
      </c>
      <c r="C13" s="677"/>
      <c r="D13" s="686"/>
      <c r="E13" s="686"/>
      <c r="F13" s="686"/>
      <c r="G13" s="686"/>
      <c r="H13" s="686"/>
      <c r="I13" s="689"/>
      <c r="J13" s="688"/>
      <c r="K13" s="688"/>
      <c r="L13" s="687">
        <f t="array" ref="L13">_xlfn.IFS($E$31=0,0,$E$31=1,$D$31,$E$31=2,$D$32)</f>
        <v>0</v>
      </c>
      <c r="M13" s="687">
        <f t="array" ref="M13">_xlfn.IFS($E$31=0,0,$E$31=1,$D$31,$E$31=2,$D$32)</f>
        <v>0</v>
      </c>
      <c r="N13" s="687">
        <f t="array" ref="N13">_xlfn.IFS($E$31=0,0,$E$31=1,$D$31,$E$31=2,$D$32)</f>
        <v>0</v>
      </c>
      <c r="P13" s="83"/>
      <c r="Q13" s="83"/>
      <c r="R13" s="83"/>
      <c r="S13" s="83"/>
      <c r="T13" s="83"/>
      <c r="AL13" s="644"/>
    </row>
    <row r="14" spans="1:38" ht="12" customHeight="1">
      <c r="B14" s="685" t="s">
        <v>20</v>
      </c>
      <c r="C14" s="677"/>
      <c r="D14" s="686"/>
      <c r="E14" s="686"/>
      <c r="F14" s="686"/>
      <c r="G14" s="686"/>
      <c r="H14" s="686"/>
      <c r="I14" s="689"/>
      <c r="J14" s="688"/>
      <c r="K14" s="688"/>
      <c r="L14" s="687">
        <f t="array" ref="L14">_xlfn.IFS($E$27=0,0,$E$27=1,$D$27,$E$27=2,$D$28)</f>
        <v>13.333333333333334</v>
      </c>
      <c r="M14" s="687">
        <f t="array" ref="M14">_xlfn.IFS($E$27=0,0,$E$27=1,$D$27,$E$27=2,$D$28)</f>
        <v>13.333333333333334</v>
      </c>
      <c r="N14" s="687">
        <f t="array" ref="N14">_xlfn.IFS($E$27=0,0,$E$27=1,$D$27,$E$27=2,$D$28)</f>
        <v>13.333333333333334</v>
      </c>
      <c r="P14" s="736"/>
      <c r="Q14" s="747"/>
      <c r="R14" s="736"/>
      <c r="S14" s="736"/>
      <c r="T14" s="736"/>
      <c r="AL14" s="644"/>
    </row>
    <row r="15" spans="1:38" ht="12" customHeight="1">
      <c r="B15" s="685" t="s">
        <v>21</v>
      </c>
      <c r="C15" s="677"/>
      <c r="D15" s="686"/>
      <c r="E15" s="686"/>
      <c r="F15" s="686"/>
      <c r="G15" s="686"/>
      <c r="H15" s="686"/>
      <c r="I15" s="689"/>
      <c r="J15" s="687">
        <v>0</v>
      </c>
      <c r="K15" s="687">
        <v>0</v>
      </c>
      <c r="L15" s="687">
        <v>0</v>
      </c>
      <c r="M15" s="687">
        <v>0</v>
      </c>
      <c r="N15" s="687">
        <v>0</v>
      </c>
      <c r="P15" s="736"/>
      <c r="Q15" s="736"/>
      <c r="R15" s="736"/>
      <c r="S15" s="736"/>
      <c r="T15" s="736"/>
      <c r="AL15" s="644"/>
    </row>
    <row r="16" spans="1:38" ht="12" customHeight="1">
      <c r="B16" s="685" t="s">
        <v>22</v>
      </c>
      <c r="C16" s="677"/>
      <c r="D16" s="686"/>
      <c r="E16" s="686"/>
      <c r="F16" s="686"/>
      <c r="G16" s="686"/>
      <c r="H16" s="686"/>
      <c r="I16" s="689"/>
      <c r="J16" s="687">
        <v>0</v>
      </c>
      <c r="K16" s="687">
        <v>0</v>
      </c>
      <c r="L16" s="687">
        <v>0</v>
      </c>
      <c r="M16" s="687">
        <v>0</v>
      </c>
      <c r="N16" s="687">
        <v>0</v>
      </c>
      <c r="AL16" s="644"/>
    </row>
    <row r="17" spans="2:38" ht="12" customHeight="1">
      <c r="B17" s="685" t="s">
        <v>23</v>
      </c>
      <c r="C17" s="677"/>
      <c r="D17" s="686"/>
      <c r="E17" s="686"/>
      <c r="F17" s="686"/>
      <c r="G17" s="686"/>
      <c r="H17" s="686"/>
      <c r="I17" s="689"/>
      <c r="J17" s="687">
        <v>0</v>
      </c>
      <c r="K17" s="687">
        <v>0</v>
      </c>
      <c r="L17" s="687">
        <v>0</v>
      </c>
      <c r="M17" s="687">
        <v>0</v>
      </c>
      <c r="N17" s="687">
        <v>0</v>
      </c>
      <c r="AL17" s="644"/>
    </row>
    <row r="18" spans="2:38" ht="12" customHeight="1">
      <c r="B18" s="685" t="s">
        <v>24</v>
      </c>
      <c r="C18" s="677"/>
      <c r="D18" s="686"/>
      <c r="E18" s="686"/>
      <c r="F18" s="686"/>
      <c r="G18" s="686"/>
      <c r="H18" s="686"/>
      <c r="I18" s="689"/>
      <c r="J18" s="687">
        <v>0</v>
      </c>
      <c r="K18" s="687">
        <v>0</v>
      </c>
      <c r="L18" s="687">
        <v>0</v>
      </c>
      <c r="M18" s="687">
        <v>0</v>
      </c>
      <c r="N18" s="687">
        <v>0</v>
      </c>
      <c r="AL18" s="644"/>
    </row>
    <row r="19" spans="2:38" ht="12" customHeight="1">
      <c r="B19" s="690" t="s">
        <v>25</v>
      </c>
      <c r="C19" s="677"/>
      <c r="D19" s="686"/>
      <c r="E19" s="686"/>
      <c r="F19" s="686"/>
      <c r="G19" s="686"/>
      <c r="H19" s="686"/>
      <c r="I19" s="691">
        <f t="shared" ref="I19:N19" si="0">SUM(I7:I18)</f>
        <v>0</v>
      </c>
      <c r="J19" s="690">
        <f t="shared" si="0"/>
        <v>92.5</v>
      </c>
      <c r="K19" s="690">
        <f t="shared" si="0"/>
        <v>92.5</v>
      </c>
      <c r="L19" s="748">
        <f t="shared" si="0"/>
        <v>38.333333333333336</v>
      </c>
      <c r="M19" s="748">
        <f t="shared" si="0"/>
        <v>38.333333333333336</v>
      </c>
      <c r="N19" s="748">
        <f t="shared" si="0"/>
        <v>38.333333333333336</v>
      </c>
    </row>
    <row r="20" spans="2:38" ht="12" customHeight="1">
      <c r="B20" s="692" t="s">
        <v>13</v>
      </c>
      <c r="C20" s="692"/>
      <c r="D20" s="693">
        <v>1.8641567328514071E-2</v>
      </c>
      <c r="E20" s="693">
        <v>3.2411962043293281E-2</v>
      </c>
      <c r="F20" s="693">
        <v>3.9775653031783591E-2</v>
      </c>
      <c r="G20" s="693">
        <v>4.9284698267998153E-2</v>
      </c>
      <c r="H20" s="693">
        <v>6.2454615438435647E-2</v>
      </c>
      <c r="I20" s="694">
        <f>H20</f>
        <v>6.2454615438435647E-2</v>
      </c>
      <c r="J20" s="695">
        <f>J6+J19/10000</f>
        <v>7.1704615438435648E-2</v>
      </c>
      <c r="K20" s="695">
        <f>K6+K19/10000</f>
        <v>8.0954615438435643E-2</v>
      </c>
      <c r="L20" s="695">
        <f>L6+L19/10000</f>
        <v>8.478794877176897E-2</v>
      </c>
      <c r="M20" s="695">
        <f>M6+M19/10000</f>
        <v>8.8621282105102298E-2</v>
      </c>
      <c r="N20" s="695">
        <f>N6+N19/10000</f>
        <v>9.2454615438435625E-2</v>
      </c>
    </row>
    <row r="21" spans="2:38" ht="12" customHeight="1">
      <c r="D21" s="646"/>
      <c r="E21" s="646"/>
      <c r="F21" s="646"/>
      <c r="G21" s="646"/>
      <c r="H21" s="646"/>
      <c r="I21" s="645"/>
      <c r="J21" s="647"/>
      <c r="K21" s="647"/>
      <c r="L21" s="647"/>
      <c r="M21" s="647"/>
      <c r="N21" s="647"/>
      <c r="AL21" s="644"/>
    </row>
    <row r="22" spans="2:38" ht="12" customHeight="1" thickBot="1">
      <c r="B22" s="643" t="s">
        <v>26</v>
      </c>
      <c r="C22" s="649" t="s">
        <v>27</v>
      </c>
      <c r="D22" s="650" t="s">
        <v>28</v>
      </c>
      <c r="E22" s="650" t="s">
        <v>29</v>
      </c>
      <c r="F22" s="646"/>
      <c r="G22" s="646"/>
      <c r="H22" s="646"/>
      <c r="I22" s="645"/>
      <c r="J22" s="647"/>
      <c r="K22" s="647"/>
      <c r="L22" s="647"/>
      <c r="M22" s="647"/>
      <c r="N22" s="647"/>
      <c r="AL22" s="644"/>
    </row>
    <row r="23" spans="2:38" ht="12" customHeight="1">
      <c r="B23" s="643" t="s">
        <v>30</v>
      </c>
      <c r="C23" s="363">
        <v>75</v>
      </c>
      <c r="D23" s="651">
        <f>C23/3</f>
        <v>25</v>
      </c>
      <c r="E23" s="652">
        <f>IF(CRT="Base",1,IF(CRT="None",0,IF(CRT="High",2)))</f>
        <v>1</v>
      </c>
      <c r="F23" s="646"/>
      <c r="G23" s="749" t="s">
        <v>29</v>
      </c>
      <c r="H23" s="750"/>
      <c r="I23" s="645"/>
      <c r="J23" s="647"/>
      <c r="K23" s="647"/>
      <c r="L23" s="647"/>
      <c r="M23" s="647"/>
      <c r="N23" s="647"/>
      <c r="AL23" s="644"/>
    </row>
    <row r="24" spans="2:38" ht="12" customHeight="1">
      <c r="B24" s="643" t="s">
        <v>31</v>
      </c>
      <c r="C24" s="363">
        <v>110</v>
      </c>
      <c r="D24" s="651">
        <f>C24/3</f>
        <v>36.666666666666664</v>
      </c>
      <c r="E24" s="646"/>
      <c r="F24" s="646"/>
      <c r="G24" s="653" t="s">
        <v>32</v>
      </c>
      <c r="H24" s="654"/>
      <c r="I24" s="645"/>
      <c r="J24" s="647"/>
      <c r="AL24" s="644"/>
    </row>
    <row r="25" spans="2:38" ht="12" customHeight="1">
      <c r="C25" s="363"/>
      <c r="D25" s="651"/>
      <c r="E25" s="646"/>
      <c r="F25" s="646"/>
      <c r="G25" s="653" t="s">
        <v>33</v>
      </c>
      <c r="H25" s="654"/>
      <c r="I25" s="645"/>
      <c r="J25" s="647"/>
      <c r="AL25" s="644"/>
    </row>
    <row r="26" spans="2:38" ht="12" customHeight="1" thickBot="1">
      <c r="B26" s="643" t="s">
        <v>34</v>
      </c>
      <c r="C26" s="363"/>
      <c r="D26" s="651"/>
      <c r="E26" s="646" t="s">
        <v>29</v>
      </c>
      <c r="F26" s="646"/>
      <c r="G26" s="655" t="s">
        <v>35</v>
      </c>
      <c r="H26" s="656"/>
      <c r="I26" s="645"/>
      <c r="J26" s="647"/>
      <c r="AL26" s="644"/>
    </row>
    <row r="27" spans="2:38" ht="12" customHeight="1">
      <c r="B27" s="643" t="s">
        <v>30</v>
      </c>
      <c r="C27" s="363">
        <v>40</v>
      </c>
      <c r="D27" s="651">
        <f>C27/3</f>
        <v>13.333333333333334</v>
      </c>
      <c r="E27" s="652">
        <f>IF(CRT="Base",1,IF(CRT="None",0,IF(CRT="High",2)))</f>
        <v>1</v>
      </c>
      <c r="F27" s="646"/>
      <c r="G27" s="646"/>
      <c r="H27" s="646"/>
      <c r="I27" s="645"/>
      <c r="J27" s="647"/>
      <c r="AL27" s="644"/>
    </row>
    <row r="28" spans="2:38" ht="12" customHeight="1">
      <c r="B28" s="643" t="s">
        <v>31</v>
      </c>
      <c r="C28" s="363">
        <v>255</v>
      </c>
      <c r="D28" s="651">
        <f>C28/3</f>
        <v>85</v>
      </c>
      <c r="E28" s="646"/>
      <c r="F28" s="646"/>
      <c r="G28" s="646"/>
      <c r="H28" s="646"/>
      <c r="I28" s="645"/>
      <c r="J28" s="647"/>
      <c r="AL28" s="644"/>
    </row>
    <row r="29" spans="2:38" ht="12" customHeight="1">
      <c r="C29" s="363"/>
      <c r="D29" s="651"/>
      <c r="E29" s="646"/>
      <c r="F29" s="646"/>
      <c r="G29" s="646"/>
      <c r="H29" s="646"/>
      <c r="I29" s="645"/>
      <c r="J29" s="647"/>
      <c r="AL29" s="644"/>
    </row>
    <row r="30" spans="2:38" ht="12" customHeight="1">
      <c r="B30" s="643" t="s">
        <v>36</v>
      </c>
      <c r="C30" s="363"/>
      <c r="D30" s="651"/>
      <c r="E30" s="646" t="s">
        <v>29</v>
      </c>
      <c r="AL30" s="644"/>
    </row>
    <row r="31" spans="2:38" ht="12" customHeight="1">
      <c r="B31" s="643" t="s">
        <v>30</v>
      </c>
      <c r="C31" s="363">
        <v>5</v>
      </c>
      <c r="D31" s="651">
        <f>C31/3</f>
        <v>1.6666666666666667</v>
      </c>
      <c r="E31" s="652">
        <f>IF(CRT="Base",0,IF(CRT="None",0,IF(CRT="High",2)))</f>
        <v>0</v>
      </c>
      <c r="F31" s="646"/>
      <c r="G31" s="646"/>
      <c r="H31" s="646"/>
      <c r="I31" s="645"/>
      <c r="AL31" s="644"/>
    </row>
    <row r="32" spans="2:38" ht="12" customHeight="1">
      <c r="B32" s="643" t="s">
        <v>31</v>
      </c>
      <c r="C32" s="363">
        <v>10</v>
      </c>
      <c r="D32" s="651">
        <f>C32/3</f>
        <v>3.3333333333333335</v>
      </c>
      <c r="E32" s="646"/>
      <c r="F32" s="646"/>
      <c r="G32" s="646"/>
      <c r="H32" s="646"/>
      <c r="I32" s="645"/>
      <c r="AL32" s="644"/>
    </row>
    <row r="33" spans="2:9" ht="12" customHeight="1">
      <c r="B33" s="648"/>
      <c r="C33" s="363"/>
      <c r="D33" s="363"/>
    </row>
    <row r="34" spans="2:9" ht="12" customHeight="1">
      <c r="B34" s="643" t="s">
        <v>37</v>
      </c>
      <c r="C34" s="363"/>
      <c r="D34" s="363"/>
      <c r="E34" s="646" t="s">
        <v>29</v>
      </c>
    </row>
    <row r="35" spans="2:9" ht="12" customHeight="1">
      <c r="B35" s="643" t="s">
        <v>30</v>
      </c>
      <c r="C35" s="363">
        <v>50</v>
      </c>
      <c r="D35" s="651">
        <f>C35/2</f>
        <v>25</v>
      </c>
      <c r="E35" s="652">
        <f>IF(CRT="Base",2,IF(CRT="None",0,IF(CRT="High",2)))</f>
        <v>2</v>
      </c>
    </row>
    <row r="36" spans="2:9" ht="12" customHeight="1">
      <c r="B36" s="643" t="s">
        <v>31</v>
      </c>
      <c r="C36" s="363">
        <v>80</v>
      </c>
      <c r="D36" s="651">
        <f>C36/2</f>
        <v>40</v>
      </c>
      <c r="E36" s="646"/>
    </row>
    <row r="37" spans="2:9" ht="12" customHeight="1">
      <c r="C37" s="363"/>
      <c r="D37" s="651"/>
      <c r="E37" s="646"/>
    </row>
    <row r="38" spans="2:9" ht="12" customHeight="1">
      <c r="B38" s="643" t="s">
        <v>38</v>
      </c>
      <c r="C38" s="363"/>
      <c r="D38" s="651"/>
      <c r="E38" s="646" t="s">
        <v>29</v>
      </c>
    </row>
    <row r="39" spans="2:9" ht="12" customHeight="1">
      <c r="B39" s="643" t="s">
        <v>30</v>
      </c>
      <c r="C39" s="363">
        <v>15</v>
      </c>
      <c r="D39" s="651">
        <f>C39/2</f>
        <v>7.5</v>
      </c>
      <c r="E39" s="652">
        <f>IF(CRT="Base",2,IF(CRT="None",0,IF(CRT="High",2)))</f>
        <v>2</v>
      </c>
      <c r="F39" s="646"/>
      <c r="G39" s="646"/>
      <c r="H39" s="646"/>
      <c r="I39" s="645"/>
    </row>
    <row r="40" spans="2:9" ht="12" customHeight="1">
      <c r="B40" s="643" t="s">
        <v>31</v>
      </c>
      <c r="C40" s="363">
        <v>35</v>
      </c>
      <c r="D40" s="651">
        <f>C40/2</f>
        <v>17.5</v>
      </c>
      <c r="E40" s="646"/>
    </row>
    <row r="41" spans="2:9" ht="12" customHeight="1">
      <c r="B41" s="648"/>
      <c r="C41" s="363"/>
      <c r="D41" s="651"/>
    </row>
    <row r="42" spans="2:9" ht="12" customHeight="1">
      <c r="B42" s="643" t="s">
        <v>39</v>
      </c>
      <c r="C42" s="363"/>
      <c r="D42" s="651"/>
      <c r="E42" s="646" t="s">
        <v>29</v>
      </c>
    </row>
    <row r="43" spans="2:9" ht="12" customHeight="1">
      <c r="B43" s="643" t="s">
        <v>30</v>
      </c>
      <c r="C43" s="363">
        <v>10</v>
      </c>
      <c r="D43" s="651">
        <f>C43/2</f>
        <v>5</v>
      </c>
      <c r="E43" s="652">
        <f>IF(CRT="Base",2,IF(CRT="None",0,IF(CRT="High",2)))</f>
        <v>2</v>
      </c>
      <c r="F43" s="646"/>
      <c r="G43" s="646"/>
      <c r="H43" s="646"/>
      <c r="I43" s="645"/>
    </row>
    <row r="44" spans="2:9" ht="12" customHeight="1">
      <c r="B44" s="643" t="s">
        <v>31</v>
      </c>
      <c r="C44" s="363">
        <v>30</v>
      </c>
      <c r="D44" s="651">
        <f>C44/2</f>
        <v>15</v>
      </c>
      <c r="E44" s="646"/>
    </row>
    <row r="45" spans="2:9" ht="12" customHeight="1">
      <c r="B45" s="648"/>
      <c r="C45" s="363"/>
      <c r="D45" s="651"/>
    </row>
    <row r="46" spans="2:9" ht="12" customHeight="1">
      <c r="B46" s="643" t="s">
        <v>40</v>
      </c>
      <c r="C46" s="363"/>
      <c r="D46" s="651"/>
      <c r="E46" s="646" t="s">
        <v>29</v>
      </c>
    </row>
    <row r="47" spans="2:9" ht="12" customHeight="1">
      <c r="B47" s="643" t="s">
        <v>30</v>
      </c>
      <c r="C47" s="363">
        <v>10</v>
      </c>
      <c r="D47" s="651">
        <f>C47/2</f>
        <v>5</v>
      </c>
      <c r="E47" s="652">
        <f>IF(CRT="Base",2,IF(CRT="None",0,IF(CRT="High",2)))</f>
        <v>2</v>
      </c>
      <c r="F47" s="646"/>
      <c r="G47" s="646"/>
      <c r="H47" s="646"/>
      <c r="I47" s="645"/>
    </row>
    <row r="48" spans="2:9" ht="12" customHeight="1">
      <c r="B48" s="643" t="s">
        <v>31</v>
      </c>
      <c r="C48" s="363">
        <v>20</v>
      </c>
      <c r="D48" s="651">
        <f>C48/2</f>
        <v>10</v>
      </c>
      <c r="E48" s="646"/>
    </row>
    <row r="49" spans="2:5" ht="12" customHeight="1">
      <c r="B49" s="648"/>
      <c r="C49" s="363"/>
      <c r="D49" s="651"/>
    </row>
    <row r="50" spans="2:5" ht="12" customHeight="1">
      <c r="B50" s="643" t="s">
        <v>41</v>
      </c>
      <c r="C50" s="363"/>
      <c r="D50" s="651"/>
      <c r="E50" s="646" t="s">
        <v>29</v>
      </c>
    </row>
    <row r="51" spans="2:5" ht="12" customHeight="1">
      <c r="B51" s="643" t="s">
        <v>30</v>
      </c>
      <c r="C51" s="363">
        <v>10</v>
      </c>
      <c r="D51" s="651">
        <f>C51/2</f>
        <v>5</v>
      </c>
      <c r="E51" s="652">
        <f>IF(CRT="Base",2,IF(CRT="None",0,IF(CRT="High",2)))</f>
        <v>2</v>
      </c>
    </row>
    <row r="52" spans="2:5" ht="12" customHeight="1">
      <c r="B52" s="643" t="s">
        <v>31</v>
      </c>
      <c r="C52" s="363">
        <v>20</v>
      </c>
      <c r="D52" s="651">
        <f>C52/2</f>
        <v>10</v>
      </c>
      <c r="E52" s="646"/>
    </row>
  </sheetData>
  <mergeCells count="1">
    <mergeCell ref="G23:H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/>
    <pageSetUpPr autoPageBreaks="0"/>
  </sheetPr>
  <dimension ref="A1:AO226"/>
  <sheetViews>
    <sheetView showGridLines="0" zoomScaleNormal="100" workbookViewId="0">
      <pane xSplit="3" ySplit="6" topLeftCell="D7" activePane="bottomRight" state="frozen"/>
      <selection activeCell="C55" sqref="C55"/>
      <selection pane="topRight" activeCell="C55" sqref="C55"/>
      <selection pane="bottomLeft" activeCell="C55" sqref="C55"/>
      <selection pane="bottomRight" activeCell="AF34" sqref="AF34"/>
    </sheetView>
  </sheetViews>
  <sheetFormatPr defaultColWidth="8.33203125" defaultRowHeight="13"/>
  <cols>
    <col min="1" max="1" width="3.5" style="188" customWidth="1"/>
    <col min="2" max="2" width="4.83203125" style="188" customWidth="1"/>
    <col min="3" max="3" width="18.83203125" style="186" customWidth="1"/>
    <col min="4" max="9" width="8" style="186" customWidth="1"/>
    <col min="10" max="10" width="2.1640625" style="186" customWidth="1"/>
    <col min="11" max="16" width="8" style="186" customWidth="1"/>
    <col min="17" max="17" width="2.1640625" style="186" customWidth="1"/>
    <col min="18" max="23" width="8" style="186" customWidth="1"/>
    <col min="24" max="24" width="2.1640625" style="186" customWidth="1"/>
    <col min="25" max="30" width="8" style="186" customWidth="1"/>
    <col min="31" max="32" width="2.1640625" style="186" customWidth="1"/>
    <col min="33" max="33" width="24" style="186" customWidth="1"/>
    <col min="34" max="34" width="8.6640625" style="187" customWidth="1"/>
    <col min="35" max="35" width="8.33203125" style="186" customWidth="1"/>
    <col min="36" max="16384" width="8.33203125" style="186"/>
  </cols>
  <sheetData>
    <row r="1" spans="1:41">
      <c r="A1" s="188" t="s">
        <v>362</v>
      </c>
    </row>
    <row r="2" spans="1:41">
      <c r="A2" s="186" t="s">
        <v>363</v>
      </c>
      <c r="AN2" s="267"/>
    </row>
    <row r="3" spans="1:41">
      <c r="A3" s="186"/>
      <c r="AN3" s="267"/>
    </row>
    <row r="4" spans="1:41" ht="20.25" customHeight="1">
      <c r="B4" s="294" t="s">
        <v>364</v>
      </c>
      <c r="C4" s="293"/>
      <c r="D4" s="293"/>
      <c r="E4" s="293"/>
      <c r="F4" s="293"/>
      <c r="G4" s="293"/>
      <c r="H4" s="293"/>
      <c r="I4" s="293"/>
      <c r="J4" s="293"/>
      <c r="K4" s="293"/>
      <c r="L4" s="293"/>
      <c r="M4" s="293"/>
      <c r="N4" s="293"/>
      <c r="O4" s="293"/>
      <c r="P4" s="293"/>
      <c r="Q4" s="293"/>
      <c r="R4" s="293"/>
      <c r="S4" s="293"/>
      <c r="T4" s="293"/>
      <c r="U4" s="293"/>
      <c r="V4" s="293"/>
      <c r="W4" s="293"/>
      <c r="X4" s="293"/>
      <c r="Y4" s="294"/>
      <c r="Z4" s="293"/>
      <c r="AA4" s="293"/>
      <c r="AB4" s="293"/>
      <c r="AC4" s="293"/>
      <c r="AD4" s="293"/>
      <c r="AN4" s="267"/>
    </row>
    <row r="5" spans="1:41" ht="5.25" customHeight="1">
      <c r="B5" s="186"/>
      <c r="C5" s="292"/>
      <c r="D5" s="199"/>
      <c r="E5" s="199"/>
      <c r="F5" s="199"/>
      <c r="G5" s="199"/>
      <c r="H5" s="199"/>
      <c r="I5" s="199"/>
      <c r="K5" s="199"/>
      <c r="L5" s="199"/>
      <c r="M5" s="199"/>
      <c r="N5" s="199"/>
      <c r="O5" s="199"/>
      <c r="P5" s="199"/>
      <c r="R5" s="199"/>
      <c r="S5" s="199"/>
      <c r="T5" s="199"/>
      <c r="U5" s="199"/>
      <c r="V5" s="199"/>
      <c r="W5" s="199"/>
      <c r="Y5" s="199"/>
      <c r="Z5" s="199"/>
      <c r="AA5" s="199"/>
      <c r="AB5" s="199"/>
      <c r="AC5" s="199"/>
      <c r="AD5" s="199"/>
      <c r="AN5" s="267"/>
    </row>
    <row r="6" spans="1:41" ht="20.25" customHeight="1">
      <c r="B6" s="291" t="s">
        <v>365</v>
      </c>
      <c r="C6" s="290"/>
      <c r="D6" s="289" t="s">
        <v>366</v>
      </c>
      <c r="E6" s="289" t="s">
        <v>367</v>
      </c>
      <c r="F6" s="289" t="s">
        <v>272</v>
      </c>
      <c r="G6" s="289" t="s">
        <v>273</v>
      </c>
      <c r="H6" s="289" t="s">
        <v>274</v>
      </c>
      <c r="I6" s="289" t="s">
        <v>368</v>
      </c>
      <c r="K6" s="289" t="s">
        <v>366</v>
      </c>
      <c r="L6" s="289" t="s">
        <v>367</v>
      </c>
      <c r="M6" s="289" t="s">
        <v>272</v>
      </c>
      <c r="N6" s="289" t="s">
        <v>273</v>
      </c>
      <c r="O6" s="289" t="s">
        <v>274</v>
      </c>
      <c r="P6" s="289" t="s">
        <v>368</v>
      </c>
      <c r="R6" s="289" t="s">
        <v>366</v>
      </c>
      <c r="S6" s="289" t="s">
        <v>367</v>
      </c>
      <c r="T6" s="289" t="s">
        <v>272</v>
      </c>
      <c r="U6" s="289" t="s">
        <v>273</v>
      </c>
      <c r="V6" s="289" t="s">
        <v>274</v>
      </c>
      <c r="W6" s="289" t="s">
        <v>368</v>
      </c>
      <c r="Y6" s="289" t="s">
        <v>366</v>
      </c>
      <c r="Z6" s="289" t="s">
        <v>367</v>
      </c>
      <c r="AA6" s="289" t="s">
        <v>272</v>
      </c>
      <c r="AB6" s="289" t="s">
        <v>273</v>
      </c>
      <c r="AC6" s="289" t="s">
        <v>274</v>
      </c>
      <c r="AD6" s="289" t="s">
        <v>368</v>
      </c>
      <c r="AN6" s="267"/>
    </row>
    <row r="7" spans="1:41" ht="5.25" customHeight="1">
      <c r="D7" s="288"/>
      <c r="E7" s="288"/>
      <c r="F7" s="288"/>
      <c r="G7" s="288"/>
      <c r="H7" s="288"/>
      <c r="I7" s="288"/>
      <c r="K7" s="288"/>
      <c r="L7" s="288"/>
      <c r="M7" s="288"/>
      <c r="N7" s="288"/>
      <c r="O7" s="288"/>
      <c r="P7" s="288"/>
      <c r="R7" s="288"/>
      <c r="S7" s="288"/>
      <c r="T7" s="288"/>
      <c r="U7" s="288"/>
      <c r="V7" s="288"/>
      <c r="W7" s="288"/>
      <c r="Y7" s="288"/>
      <c r="Z7" s="288"/>
      <c r="AA7" s="288"/>
      <c r="AB7" s="288"/>
      <c r="AC7" s="288"/>
      <c r="AD7" s="288"/>
      <c r="AN7" s="267"/>
    </row>
    <row r="8" spans="1:41" ht="20.25" customHeight="1">
      <c r="A8" s="230" t="s">
        <v>1</v>
      </c>
      <c r="B8" s="287" t="s">
        <v>369</v>
      </c>
      <c r="C8" s="287" t="s">
        <v>370</v>
      </c>
      <c r="D8" s="286" t="s">
        <v>189</v>
      </c>
      <c r="E8" s="285"/>
      <c r="F8" s="285"/>
      <c r="G8" s="285"/>
      <c r="H8" s="285"/>
      <c r="I8" s="285"/>
      <c r="K8" s="286" t="s">
        <v>73</v>
      </c>
      <c r="L8" s="285"/>
      <c r="M8" s="285"/>
      <c r="N8" s="285"/>
      <c r="O8" s="285"/>
      <c r="P8" s="285"/>
      <c r="R8" s="286" t="s">
        <v>371</v>
      </c>
      <c r="S8" s="285"/>
      <c r="T8" s="285"/>
      <c r="U8" s="285"/>
      <c r="V8" s="285"/>
      <c r="W8" s="285"/>
      <c r="Y8" s="286" t="s">
        <v>372</v>
      </c>
      <c r="Z8" s="285"/>
      <c r="AA8" s="285"/>
      <c r="AB8" s="285"/>
      <c r="AC8" s="285"/>
      <c r="AD8" s="285"/>
      <c r="AN8" s="267"/>
    </row>
    <row r="9" spans="1:41" ht="15" customHeight="1">
      <c r="B9" s="230">
        <v>1</v>
      </c>
      <c r="C9" s="203" t="s">
        <v>312</v>
      </c>
      <c r="D9" s="248">
        <v>133.870194</v>
      </c>
      <c r="E9" s="248">
        <v>119.36184299999999</v>
      </c>
      <c r="F9" s="248">
        <v>216.554</v>
      </c>
      <c r="G9" s="248">
        <v>184.38928899999999</v>
      </c>
      <c r="H9" s="248">
        <v>161.06996871999999</v>
      </c>
      <c r="I9" s="226">
        <f t="shared" ref="I9:I23" si="0">IFERROR(H9*(1+AD9),0)</f>
        <v>162.68066840719999</v>
      </c>
      <c r="J9" s="248"/>
      <c r="K9" s="248">
        <v>18.454073000000001</v>
      </c>
      <c r="L9" s="248">
        <v>15.035522</v>
      </c>
      <c r="M9" s="248">
        <v>24.716999999999999</v>
      </c>
      <c r="N9" s="248">
        <v>22.248266000000001</v>
      </c>
      <c r="O9" s="248">
        <v>16.782791149999952</v>
      </c>
      <c r="P9" s="226">
        <f t="shared" ref="P9:P23" si="1">IFERROR(I9*W9,0)</f>
        <v>19.613076777382567</v>
      </c>
      <c r="R9" s="225">
        <f t="shared" ref="R9:R24" si="2">IFERROR(K9/D9,0)</f>
        <v>0.13785049867037619</v>
      </c>
      <c r="S9" s="225">
        <f t="shared" ref="S9:S24" si="3">IFERROR(L9/E9,0)</f>
        <v>0.12596590017464795</v>
      </c>
      <c r="T9" s="225">
        <f t="shared" ref="T9:T24" si="4">IFERROR(M9/F9,0)</f>
        <v>0.11413781320132622</v>
      </c>
      <c r="U9" s="225">
        <f t="shared" ref="U9:U24" si="5">IFERROR(N9/G9,0)</f>
        <v>0.12065921030803477</v>
      </c>
      <c r="V9" s="225">
        <f t="shared" ref="V9:V24" si="6">IFERROR(O9/H9,0)</f>
        <v>0.10419565660420992</v>
      </c>
      <c r="W9" s="235">
        <f>AVERAGE(R9:V9)</f>
        <v>0.12056181579171901</v>
      </c>
      <c r="X9" s="204"/>
      <c r="Y9" s="243"/>
      <c r="Z9" s="225">
        <f t="shared" ref="Z9:Z23" si="7">IFERROR(E9/D9-1,0)</f>
        <v>-0.10837626036457382</v>
      </c>
      <c r="AA9" s="225">
        <f t="shared" ref="AA9:AA23" si="8">IFERROR(F9/E9-1,0)</f>
        <v>0.81426488195226687</v>
      </c>
      <c r="AB9" s="225">
        <f t="shared" ref="AB9:AB23" si="9">IFERROR(G9/F9-1,0)</f>
        <v>-0.14852974777653616</v>
      </c>
      <c r="AC9" s="225">
        <f t="shared" ref="AC9:AC23" si="10">IFERROR(H9/G9-1,0)</f>
        <v>-0.12646786809834709</v>
      </c>
      <c r="AD9" s="235">
        <v>0.01</v>
      </c>
      <c r="AE9" s="204"/>
      <c r="AH9" s="258"/>
      <c r="AI9" s="258"/>
      <c r="AJ9" s="258"/>
      <c r="AK9" s="258"/>
      <c r="AL9" s="258"/>
      <c r="AM9" s="209"/>
      <c r="AN9" s="209"/>
      <c r="AO9" s="209"/>
    </row>
    <row r="10" spans="1:41" ht="15" customHeight="1">
      <c r="B10" s="230">
        <f t="shared" ref="B10:B23" si="11">B9+1</f>
        <v>2</v>
      </c>
      <c r="C10" s="203" t="s">
        <v>313</v>
      </c>
      <c r="D10" s="248">
        <v>0</v>
      </c>
      <c r="E10" s="248">
        <v>0</v>
      </c>
      <c r="F10" s="248">
        <v>0</v>
      </c>
      <c r="G10" s="248">
        <v>0</v>
      </c>
      <c r="H10" s="248">
        <v>0</v>
      </c>
      <c r="I10" s="226">
        <f t="shared" si="0"/>
        <v>0</v>
      </c>
      <c r="J10" s="248"/>
      <c r="K10" s="248">
        <v>0</v>
      </c>
      <c r="L10" s="248">
        <v>0</v>
      </c>
      <c r="M10" s="248">
        <v>0</v>
      </c>
      <c r="N10" s="248">
        <v>0</v>
      </c>
      <c r="O10" s="248">
        <v>0</v>
      </c>
      <c r="P10" s="226">
        <f t="shared" ca="1" si="1"/>
        <v>0</v>
      </c>
      <c r="R10" s="225">
        <f t="shared" si="2"/>
        <v>0</v>
      </c>
      <c r="S10" s="225">
        <f t="shared" si="3"/>
        <v>0</v>
      </c>
      <c r="T10" s="225">
        <f t="shared" si="4"/>
        <v>0</v>
      </c>
      <c r="U10" s="225">
        <f t="shared" si="5"/>
        <v>0</v>
      </c>
      <c r="V10" s="225">
        <f t="shared" si="6"/>
        <v>0</v>
      </c>
      <c r="W10" s="235">
        <f ca="1">IFERROR(P10/I10,0)</f>
        <v>0</v>
      </c>
      <c r="X10" s="204"/>
      <c r="Y10" s="243"/>
      <c r="Z10" s="225">
        <f t="shared" si="7"/>
        <v>0</v>
      </c>
      <c r="AA10" s="225">
        <f t="shared" si="8"/>
        <v>0</v>
      </c>
      <c r="AB10" s="225">
        <f t="shared" si="9"/>
        <v>0</v>
      </c>
      <c r="AC10" s="225">
        <f t="shared" si="10"/>
        <v>0</v>
      </c>
      <c r="AD10" s="235">
        <v>0.01</v>
      </c>
      <c r="AE10" s="204"/>
      <c r="AH10" s="258"/>
      <c r="AI10" s="258"/>
      <c r="AJ10" s="258"/>
      <c r="AK10" s="258"/>
      <c r="AL10" s="258"/>
      <c r="AM10" s="209"/>
      <c r="AN10" s="209"/>
      <c r="AO10" s="209"/>
    </row>
    <row r="11" spans="1:41" ht="15" customHeight="1">
      <c r="B11" s="230">
        <f t="shared" si="11"/>
        <v>3</v>
      </c>
      <c r="C11" s="203" t="s">
        <v>314</v>
      </c>
      <c r="D11" s="249">
        <v>0</v>
      </c>
      <c r="E11" s="249">
        <v>1.2110000000000001</v>
      </c>
      <c r="F11" s="249">
        <v>0.73699999999999999</v>
      </c>
      <c r="G11" s="249">
        <v>0.85199999999999998</v>
      </c>
      <c r="H11" s="249">
        <v>1.0747681099999999</v>
      </c>
      <c r="I11" s="226">
        <f t="shared" si="0"/>
        <v>1.1257698428710243</v>
      </c>
      <c r="J11" s="248"/>
      <c r="K11" s="249">
        <v>0</v>
      </c>
      <c r="L11" s="249">
        <v>0.26800000000000002</v>
      </c>
      <c r="M11" s="249">
        <v>0.186</v>
      </c>
      <c r="N11" s="249">
        <v>0.28299999999999997</v>
      </c>
      <c r="O11" s="249">
        <v>0.22094827999999991</v>
      </c>
      <c r="P11" s="226">
        <f t="shared" si="1"/>
        <v>0.33019731199798202</v>
      </c>
      <c r="R11" s="225">
        <f t="shared" si="2"/>
        <v>0</v>
      </c>
      <c r="S11" s="225">
        <f t="shared" si="3"/>
        <v>0.22130470685383979</v>
      </c>
      <c r="T11" s="225">
        <f t="shared" si="4"/>
        <v>0.25237449118046135</v>
      </c>
      <c r="U11" s="225">
        <f t="shared" si="5"/>
        <v>0.3321596244131455</v>
      </c>
      <c r="V11" s="225">
        <f t="shared" si="6"/>
        <v>0.20557762920598743</v>
      </c>
      <c r="W11" s="235">
        <v>0.29330800970461918</v>
      </c>
      <c r="X11" s="204"/>
      <c r="Y11" s="243"/>
      <c r="Z11" s="225">
        <f t="shared" si="7"/>
        <v>0</v>
      </c>
      <c r="AA11" s="225">
        <f t="shared" si="8"/>
        <v>-0.39141205615194063</v>
      </c>
      <c r="AB11" s="225">
        <f t="shared" si="9"/>
        <v>0.15603799185888745</v>
      </c>
      <c r="AC11" s="225">
        <f t="shared" si="10"/>
        <v>0.26146491784037562</v>
      </c>
      <c r="AD11" s="235">
        <v>4.7453708754928041E-2</v>
      </c>
      <c r="AE11" s="204"/>
      <c r="AG11" s="209"/>
      <c r="AH11" s="258"/>
      <c r="AI11" s="258"/>
      <c r="AJ11" s="258"/>
      <c r="AK11" s="258"/>
      <c r="AL11" s="258"/>
      <c r="AM11" s="209"/>
      <c r="AN11" s="209"/>
      <c r="AO11" s="209"/>
    </row>
    <row r="12" spans="1:41" ht="15" customHeight="1">
      <c r="B12" s="230">
        <f t="shared" si="11"/>
        <v>4</v>
      </c>
      <c r="C12" s="203" t="s">
        <v>315</v>
      </c>
      <c r="D12" s="249">
        <v>35.109000000000002</v>
      </c>
      <c r="E12" s="249">
        <v>29.821000000000002</v>
      </c>
      <c r="F12" s="249">
        <v>34.500999999999998</v>
      </c>
      <c r="G12" s="249">
        <v>34.162999999999997</v>
      </c>
      <c r="H12" s="249">
        <v>37.897285930000002</v>
      </c>
      <c r="I12" s="226">
        <f t="shared" si="0"/>
        <v>40.171123085800005</v>
      </c>
      <c r="J12" s="248"/>
      <c r="K12" s="249">
        <v>4.91526</v>
      </c>
      <c r="L12" s="249">
        <v>3.9550000000000001</v>
      </c>
      <c r="M12" s="249">
        <v>3.4590000000000001</v>
      </c>
      <c r="N12" s="249">
        <v>3.395</v>
      </c>
      <c r="O12" s="249">
        <v>2.5137979000000001</v>
      </c>
      <c r="P12" s="226">
        <f t="shared" si="1"/>
        <v>4.1777968009232005</v>
      </c>
      <c r="R12" s="225">
        <f t="shared" si="2"/>
        <v>0.13999999999999999</v>
      </c>
      <c r="S12" s="225">
        <f t="shared" si="3"/>
        <v>0.13262466047416249</v>
      </c>
      <c r="T12" s="225">
        <f t="shared" si="4"/>
        <v>0.10025796353728879</v>
      </c>
      <c r="U12" s="225">
        <f t="shared" si="5"/>
        <v>9.9376518455639148E-2</v>
      </c>
      <c r="V12" s="225">
        <f t="shared" si="6"/>
        <v>6.633187148660806E-2</v>
      </c>
      <c r="W12" s="235">
        <v>0.104</v>
      </c>
      <c r="X12" s="204"/>
      <c r="Y12" s="243"/>
      <c r="Z12" s="225">
        <f t="shared" si="7"/>
        <v>-0.15061665100116783</v>
      </c>
      <c r="AA12" s="225">
        <f t="shared" si="8"/>
        <v>0.15693638710975466</v>
      </c>
      <c r="AB12" s="225">
        <f t="shared" si="9"/>
        <v>-9.7968174835512123E-3</v>
      </c>
      <c r="AC12" s="225">
        <f t="shared" si="10"/>
        <v>0.10930790416532532</v>
      </c>
      <c r="AD12" s="235">
        <v>0.06</v>
      </c>
      <c r="AE12" s="204"/>
      <c r="AH12" s="258"/>
      <c r="AI12" s="258"/>
      <c r="AJ12" s="258"/>
      <c r="AK12" s="258"/>
      <c r="AL12" s="258"/>
      <c r="AM12" s="209"/>
      <c r="AN12" s="209"/>
      <c r="AO12" s="209"/>
    </row>
    <row r="13" spans="1:41" ht="15" customHeight="1">
      <c r="B13" s="230">
        <f t="shared" si="11"/>
        <v>5</v>
      </c>
      <c r="C13" s="203" t="s">
        <v>316</v>
      </c>
      <c r="D13" s="249">
        <v>6.2089999999999996</v>
      </c>
      <c r="E13" s="249">
        <v>5.6105720000000003</v>
      </c>
      <c r="F13" s="249">
        <v>2.4750000000000001</v>
      </c>
      <c r="G13" s="249">
        <v>5.859</v>
      </c>
      <c r="H13" s="249">
        <v>21.205057289999999</v>
      </c>
      <c r="I13" s="226">
        <f t="shared" si="0"/>
        <v>19.296602133899999</v>
      </c>
      <c r="J13" s="248"/>
      <c r="K13" s="249">
        <v>0.70699999999999996</v>
      </c>
      <c r="L13" s="249">
        <v>0.77675300000000003</v>
      </c>
      <c r="M13" s="249">
        <v>0.42799999999999999</v>
      </c>
      <c r="N13" s="249">
        <v>1.386773</v>
      </c>
      <c r="O13" s="249">
        <v>2.7885929699999998</v>
      </c>
      <c r="P13" s="226">
        <f t="shared" si="1"/>
        <v>1.350762149373</v>
      </c>
      <c r="R13" s="225">
        <f t="shared" si="2"/>
        <v>0.11386696730552424</v>
      </c>
      <c r="S13" s="225">
        <f t="shared" si="3"/>
        <v>0.1384445293634945</v>
      </c>
      <c r="T13" s="225">
        <f t="shared" si="4"/>
        <v>0.17292929292929293</v>
      </c>
      <c r="U13" s="225">
        <f t="shared" si="5"/>
        <v>0.2366910735620413</v>
      </c>
      <c r="V13" s="225">
        <f t="shared" si="6"/>
        <v>0.13150603329494706</v>
      </c>
      <c r="W13" s="235">
        <v>7.0000000000000007E-2</v>
      </c>
      <c r="X13" s="204"/>
      <c r="Y13" s="243"/>
      <c r="Z13" s="225">
        <f t="shared" si="7"/>
        <v>-9.6380737638911196E-2</v>
      </c>
      <c r="AA13" s="225">
        <f t="shared" si="8"/>
        <v>-0.55886850752472306</v>
      </c>
      <c r="AB13" s="225">
        <f t="shared" si="9"/>
        <v>1.3672727272727272</v>
      </c>
      <c r="AC13" s="225">
        <f t="shared" si="10"/>
        <v>2.6192280747567844</v>
      </c>
      <c r="AD13" s="235">
        <v>-9.0000000000000011E-2</v>
      </c>
      <c r="AE13" s="204"/>
      <c r="AH13" s="258"/>
      <c r="AI13" s="258"/>
      <c r="AJ13" s="258"/>
      <c r="AK13" s="258"/>
      <c r="AL13" s="258"/>
      <c r="AM13" s="209"/>
      <c r="AN13" s="209"/>
      <c r="AO13" s="209"/>
    </row>
    <row r="14" spans="1:41" ht="15" customHeight="1">
      <c r="B14" s="230">
        <f t="shared" si="11"/>
        <v>6</v>
      </c>
      <c r="C14" s="203" t="s">
        <v>317</v>
      </c>
      <c r="D14" s="249">
        <v>7.1745000000000001</v>
      </c>
      <c r="E14" s="249">
        <v>11.3105682782695</v>
      </c>
      <c r="F14" s="249">
        <v>20.8240251674709</v>
      </c>
      <c r="G14" s="249">
        <v>22.216846190059201</v>
      </c>
      <c r="H14" s="249">
        <v>14.453480000000001</v>
      </c>
      <c r="I14" s="226">
        <f t="shared" si="0"/>
        <v>14.887084400000001</v>
      </c>
      <c r="J14" s="248"/>
      <c r="K14" s="249">
        <v>1.0044299999999999</v>
      </c>
      <c r="L14" s="249">
        <v>1.6283201199999999</v>
      </c>
      <c r="M14" s="249">
        <v>3.9251758286781611</v>
      </c>
      <c r="N14" s="249">
        <v>5.9095802990080397</v>
      </c>
      <c r="O14" s="249">
        <v>3.3875999999999999</v>
      </c>
      <c r="P14" s="226">
        <f t="shared" si="1"/>
        <v>3.5729002560000001</v>
      </c>
      <c r="R14" s="225">
        <f t="shared" si="2"/>
        <v>0.13999999999999999</v>
      </c>
      <c r="S14" s="225">
        <f t="shared" si="3"/>
        <v>0.14396448347590282</v>
      </c>
      <c r="T14" s="225">
        <f t="shared" si="4"/>
        <v>0.18849265678038354</v>
      </c>
      <c r="U14" s="225">
        <f t="shared" si="5"/>
        <v>0.26599546346286751</v>
      </c>
      <c r="V14" s="225">
        <f t="shared" si="6"/>
        <v>0.23437954042901776</v>
      </c>
      <c r="W14" s="235">
        <v>0.24</v>
      </c>
      <c r="X14" s="204"/>
      <c r="Y14" s="243"/>
      <c r="Z14" s="225">
        <f t="shared" si="7"/>
        <v>0.57649568308167809</v>
      </c>
      <c r="AA14" s="225">
        <f t="shared" si="8"/>
        <v>0.84111219305215545</v>
      </c>
      <c r="AB14" s="225">
        <f t="shared" si="9"/>
        <v>6.6885292895439763E-2</v>
      </c>
      <c r="AC14" s="225">
        <f t="shared" si="10"/>
        <v>-0.34943601461907192</v>
      </c>
      <c r="AD14" s="235">
        <v>0.03</v>
      </c>
      <c r="AE14" s="204"/>
      <c r="AH14" s="258"/>
      <c r="AI14" s="258"/>
      <c r="AJ14" s="258"/>
      <c r="AK14" s="258"/>
      <c r="AL14" s="258"/>
      <c r="AM14" s="209"/>
      <c r="AN14" s="209"/>
      <c r="AO14" s="209"/>
    </row>
    <row r="15" spans="1:41" ht="15" customHeight="1">
      <c r="B15" s="230">
        <f t="shared" si="11"/>
        <v>7</v>
      </c>
      <c r="C15" s="203" t="s">
        <v>318</v>
      </c>
      <c r="D15" s="249">
        <v>16.353400000000001</v>
      </c>
      <c r="E15" s="249">
        <v>5.359</v>
      </c>
      <c r="F15" s="249">
        <v>2.6709999999999998</v>
      </c>
      <c r="G15" s="249">
        <v>4.548</v>
      </c>
      <c r="H15" s="249">
        <v>1.13478912</v>
      </c>
      <c r="I15" s="226">
        <f t="shared" si="0"/>
        <v>1.3730948351999999</v>
      </c>
      <c r="J15" s="248"/>
      <c r="K15" s="249">
        <v>2.0318000000000001</v>
      </c>
      <c r="L15" s="249">
        <v>0.47499999999999998</v>
      </c>
      <c r="M15" s="249">
        <v>0.504</v>
      </c>
      <c r="N15" s="249">
        <v>0.7759299999999999</v>
      </c>
      <c r="O15" s="249">
        <v>0.46706554000000011</v>
      </c>
      <c r="P15" s="226">
        <f t="shared" si="1"/>
        <v>0.37542846126987345</v>
      </c>
      <c r="R15" s="225">
        <f t="shared" si="2"/>
        <v>0.12424327662749031</v>
      </c>
      <c r="S15" s="225">
        <f t="shared" si="3"/>
        <v>8.8635939540959136E-2</v>
      </c>
      <c r="T15" s="225">
        <f t="shared" si="4"/>
        <v>0.1886933732684388</v>
      </c>
      <c r="U15" s="225">
        <f t="shared" si="5"/>
        <v>0.17060905892700085</v>
      </c>
      <c r="V15" s="225">
        <f t="shared" si="6"/>
        <v>0.4115879609420296</v>
      </c>
      <c r="W15" s="235">
        <v>0.27341772151898741</v>
      </c>
      <c r="X15" s="204"/>
      <c r="Y15" s="243"/>
      <c r="Z15" s="225">
        <f t="shared" si="7"/>
        <v>-0.67230056135115634</v>
      </c>
      <c r="AA15" s="225">
        <f t="shared" si="8"/>
        <v>-0.50158611681283827</v>
      </c>
      <c r="AB15" s="225">
        <f t="shared" si="9"/>
        <v>0.70273305877948355</v>
      </c>
      <c r="AC15" s="225">
        <f t="shared" si="10"/>
        <v>-0.75048612137203163</v>
      </c>
      <c r="AD15" s="235">
        <v>0.21</v>
      </c>
      <c r="AE15" s="204"/>
      <c r="AH15" s="258"/>
      <c r="AI15" s="258"/>
      <c r="AJ15" s="258"/>
      <c r="AK15" s="258"/>
      <c r="AL15" s="258"/>
      <c r="AM15" s="209"/>
      <c r="AN15" s="209"/>
      <c r="AO15" s="209"/>
    </row>
    <row r="16" spans="1:41" ht="15" customHeight="1">
      <c r="B16" s="230">
        <f t="shared" si="11"/>
        <v>8</v>
      </c>
      <c r="C16" s="203" t="s">
        <v>319</v>
      </c>
      <c r="D16" s="248">
        <v>1.2815000000000001</v>
      </c>
      <c r="E16" s="248">
        <v>0.84299999999999997</v>
      </c>
      <c r="F16" s="248">
        <v>1.6359999999999999</v>
      </c>
      <c r="G16" s="248">
        <v>1.524</v>
      </c>
      <c r="H16" s="248">
        <v>2.888449</v>
      </c>
      <c r="I16" s="226">
        <f t="shared" si="0"/>
        <v>3.0617559400000003</v>
      </c>
      <c r="J16" s="248"/>
      <c r="K16" s="248">
        <v>0.13800000000000001</v>
      </c>
      <c r="L16" s="248">
        <v>0.09</v>
      </c>
      <c r="M16" s="248">
        <v>0.20100000000000001</v>
      </c>
      <c r="N16" s="248">
        <v>0.13300000000000001</v>
      </c>
      <c r="O16" s="248">
        <v>0.20829600000000001</v>
      </c>
      <c r="P16" s="226">
        <f t="shared" si="1"/>
        <v>0.28321242445</v>
      </c>
      <c r="R16" s="225">
        <f t="shared" si="2"/>
        <v>0.10768630511119781</v>
      </c>
      <c r="S16" s="225">
        <f t="shared" si="3"/>
        <v>0.10676156583629894</v>
      </c>
      <c r="T16" s="225">
        <f t="shared" si="4"/>
        <v>0.12286063569682153</v>
      </c>
      <c r="U16" s="225">
        <f t="shared" si="5"/>
        <v>8.7270341207349084E-2</v>
      </c>
      <c r="V16" s="225">
        <f t="shared" si="6"/>
        <v>7.211344219683298E-2</v>
      </c>
      <c r="W16" s="235">
        <v>9.2499999999999999E-2</v>
      </c>
      <c r="X16" s="204"/>
      <c r="Y16" s="243"/>
      <c r="Z16" s="225">
        <f t="shared" si="7"/>
        <v>-0.3421771361685525</v>
      </c>
      <c r="AA16" s="225">
        <f t="shared" si="8"/>
        <v>0.9406880189798339</v>
      </c>
      <c r="AB16" s="225">
        <f t="shared" si="9"/>
        <v>-6.8459657701711474E-2</v>
      </c>
      <c r="AC16" s="225">
        <f t="shared" si="10"/>
        <v>0.8953077427821523</v>
      </c>
      <c r="AD16" s="235">
        <v>0.06</v>
      </c>
      <c r="AE16" s="204"/>
      <c r="AH16" s="258"/>
      <c r="AI16" s="258"/>
      <c r="AJ16" s="258"/>
      <c r="AK16" s="258"/>
      <c r="AL16" s="258"/>
      <c r="AM16" s="209"/>
      <c r="AN16" s="209"/>
      <c r="AO16" s="209"/>
    </row>
    <row r="17" spans="1:41" ht="15" customHeight="1">
      <c r="B17" s="230">
        <f t="shared" si="11"/>
        <v>9</v>
      </c>
      <c r="C17" s="203" t="s">
        <v>320</v>
      </c>
      <c r="D17" s="249">
        <v>1.83786</v>
      </c>
      <c r="E17" s="249">
        <v>5.9710000000000001</v>
      </c>
      <c r="F17" s="249">
        <v>8.9109999999999996</v>
      </c>
      <c r="G17" s="249">
        <v>11.724</v>
      </c>
      <c r="H17" s="249">
        <v>10.591102640000001</v>
      </c>
      <c r="I17" s="226">
        <f t="shared" si="0"/>
        <v>11.014746745600002</v>
      </c>
      <c r="J17" s="248"/>
      <c r="K17" s="249">
        <v>0.16540740000000001</v>
      </c>
      <c r="L17" s="249">
        <v>0.70799999999999996</v>
      </c>
      <c r="M17" s="249">
        <v>1.19</v>
      </c>
      <c r="N17" s="249">
        <v>1.4350000000000001</v>
      </c>
      <c r="O17" s="249">
        <v>1.2218628300000001</v>
      </c>
      <c r="P17" s="226">
        <f t="shared" si="1"/>
        <v>1.2362687999999997</v>
      </c>
      <c r="R17" s="225">
        <f t="shared" si="2"/>
        <v>0.09</v>
      </c>
      <c r="S17" s="225">
        <f t="shared" si="3"/>
        <v>0.11857310333277507</v>
      </c>
      <c r="T17" s="225">
        <f t="shared" si="4"/>
        <v>0.13354281225451689</v>
      </c>
      <c r="U17" s="225">
        <f t="shared" si="5"/>
        <v>0.12239849880586831</v>
      </c>
      <c r="V17" s="225">
        <f t="shared" si="6"/>
        <v>0.11536691424227383</v>
      </c>
      <c r="W17" s="235">
        <v>0.11223760550771129</v>
      </c>
      <c r="X17" s="204"/>
      <c r="Y17" s="243"/>
      <c r="Z17" s="225">
        <f t="shared" si="7"/>
        <v>2.2488872928297039</v>
      </c>
      <c r="AA17" s="225">
        <f t="shared" si="8"/>
        <v>0.49237983587338796</v>
      </c>
      <c r="AB17" s="225">
        <f t="shared" si="9"/>
        <v>0.3156772528335765</v>
      </c>
      <c r="AC17" s="225">
        <f t="shared" si="10"/>
        <v>-9.6630617536676899E-2</v>
      </c>
      <c r="AD17" s="235">
        <v>0.04</v>
      </c>
      <c r="AE17" s="204"/>
      <c r="AH17" s="258"/>
      <c r="AI17" s="258"/>
      <c r="AJ17" s="258"/>
      <c r="AK17" s="258"/>
      <c r="AL17" s="258"/>
      <c r="AM17" s="209"/>
      <c r="AN17" s="209"/>
      <c r="AO17" s="209"/>
    </row>
    <row r="18" spans="1:41" ht="15" customHeight="1">
      <c r="B18" s="230">
        <f t="shared" si="11"/>
        <v>10</v>
      </c>
      <c r="C18" s="203" t="s">
        <v>321</v>
      </c>
      <c r="D18" s="249">
        <v>9.2024500000000007</v>
      </c>
      <c r="E18" s="249">
        <v>10.14994175</v>
      </c>
      <c r="F18" s="249">
        <v>15.27685984</v>
      </c>
      <c r="G18" s="249">
        <v>13.014011269999999</v>
      </c>
      <c r="H18" s="249">
        <v>13.950893000000001</v>
      </c>
      <c r="I18" s="226">
        <f t="shared" si="0"/>
        <v>12.695312630000002</v>
      </c>
      <c r="J18" s="248"/>
      <c r="K18" s="249">
        <v>2.6179999999999999</v>
      </c>
      <c r="L18" s="249">
        <v>1.47174155375</v>
      </c>
      <c r="M18" s="249">
        <v>2.2151446768</v>
      </c>
      <c r="N18" s="249">
        <v>1.88703163415</v>
      </c>
      <c r="O18" s="249">
        <v>2.783965059999999</v>
      </c>
      <c r="P18" s="226">
        <f t="shared" si="1"/>
        <v>1.8408203313500002</v>
      </c>
      <c r="R18" s="225">
        <f t="shared" si="2"/>
        <v>0.28448945661209785</v>
      </c>
      <c r="S18" s="225">
        <f t="shared" si="3"/>
        <v>0.14500000000000002</v>
      </c>
      <c r="T18" s="225">
        <f t="shared" si="4"/>
        <v>0.14499999999999999</v>
      </c>
      <c r="U18" s="225">
        <f t="shared" si="5"/>
        <v>0.14500000000000002</v>
      </c>
      <c r="V18" s="225">
        <f t="shared" si="6"/>
        <v>0.19955461345736067</v>
      </c>
      <c r="W18" s="235">
        <v>0.14499999999999999</v>
      </c>
      <c r="X18" s="204"/>
      <c r="Y18" s="243"/>
      <c r="Z18" s="225">
        <f t="shared" si="7"/>
        <v>0.10296081478301966</v>
      </c>
      <c r="AA18" s="225">
        <f t="shared" si="8"/>
        <v>0.50511798158841659</v>
      </c>
      <c r="AB18" s="225">
        <f t="shared" si="9"/>
        <v>-0.14812262426307632</v>
      </c>
      <c r="AC18" s="225">
        <f t="shared" si="10"/>
        <v>7.1990235029203431E-2</v>
      </c>
      <c r="AD18" s="235">
        <v>-9.0000000000000011E-2</v>
      </c>
      <c r="AE18" s="204"/>
      <c r="AH18" s="258"/>
      <c r="AI18" s="258"/>
      <c r="AJ18" s="258"/>
      <c r="AK18" s="258"/>
      <c r="AL18" s="258"/>
      <c r="AM18" s="209"/>
      <c r="AN18" s="209"/>
      <c r="AO18" s="209"/>
    </row>
    <row r="19" spans="1:41" ht="15" customHeight="1">
      <c r="B19" s="230">
        <f t="shared" si="11"/>
        <v>11</v>
      </c>
      <c r="C19" s="203" t="s">
        <v>322</v>
      </c>
      <c r="D19" s="249">
        <v>1.593</v>
      </c>
      <c r="E19" s="249">
        <v>0.66100000000000003</v>
      </c>
      <c r="F19" s="249">
        <v>0.26600000000000001</v>
      </c>
      <c r="G19" s="249">
        <v>0.502</v>
      </c>
      <c r="H19" s="249">
        <v>2.0691290000000002</v>
      </c>
      <c r="I19" s="226">
        <f t="shared" si="0"/>
        <v>7.9868379400000009</v>
      </c>
      <c r="J19" s="248"/>
      <c r="K19" s="249">
        <v>0.307562</v>
      </c>
      <c r="L19" s="249">
        <v>0.155</v>
      </c>
      <c r="M19" s="249">
        <v>5.6000000000000001E-2</v>
      </c>
      <c r="N19" s="249">
        <v>0.109</v>
      </c>
      <c r="O19" s="249">
        <v>0.17552470000000001</v>
      </c>
      <c r="P19" s="226">
        <f t="shared" si="1"/>
        <v>1.2778940704000001</v>
      </c>
      <c r="R19" s="225">
        <f t="shared" si="2"/>
        <v>0.19307093534212177</v>
      </c>
      <c r="S19" s="225">
        <f t="shared" si="3"/>
        <v>0.23449319213313161</v>
      </c>
      <c r="T19" s="225">
        <f t="shared" si="4"/>
        <v>0.21052631578947367</v>
      </c>
      <c r="U19" s="225">
        <f t="shared" si="5"/>
        <v>0.21713147410358566</v>
      </c>
      <c r="V19" s="225">
        <f t="shared" si="6"/>
        <v>8.4830235330904932E-2</v>
      </c>
      <c r="W19" s="235">
        <v>0.16</v>
      </c>
      <c r="X19" s="204"/>
      <c r="Y19" s="243"/>
      <c r="Z19" s="225">
        <f t="shared" si="7"/>
        <v>-0.58505963590709353</v>
      </c>
      <c r="AA19" s="225">
        <f t="shared" si="8"/>
        <v>-0.59757942511346451</v>
      </c>
      <c r="AB19" s="225">
        <f t="shared" si="9"/>
        <v>0.88721804511278179</v>
      </c>
      <c r="AC19" s="225">
        <f t="shared" si="10"/>
        <v>3.1217709163346621</v>
      </c>
      <c r="AD19" s="235">
        <v>2.86</v>
      </c>
      <c r="AE19" s="204"/>
      <c r="AH19" s="258"/>
      <c r="AI19" s="258"/>
      <c r="AJ19" s="258"/>
      <c r="AK19" s="258"/>
      <c r="AL19" s="258"/>
      <c r="AM19" s="209"/>
      <c r="AN19" s="209"/>
      <c r="AO19" s="209"/>
    </row>
    <row r="20" spans="1:41" ht="15" customHeight="1">
      <c r="B20" s="230">
        <f t="shared" si="11"/>
        <v>12</v>
      </c>
      <c r="C20" s="203" t="s">
        <v>323</v>
      </c>
      <c r="D20" s="249">
        <v>7.2673050000000003</v>
      </c>
      <c r="E20" s="249">
        <v>2.0525069999999999</v>
      </c>
      <c r="F20" s="249">
        <v>2.7795909999999999</v>
      </c>
      <c r="G20" s="249">
        <v>3.606554</v>
      </c>
      <c r="H20" s="249">
        <v>5.2015600000000006</v>
      </c>
      <c r="I20" s="226">
        <f t="shared" si="0"/>
        <v>5.5136536000000014</v>
      </c>
      <c r="J20" s="248"/>
      <c r="K20" s="249">
        <v>1.06679817</v>
      </c>
      <c r="L20" s="249">
        <v>-0.22941455999999991</v>
      </c>
      <c r="M20" s="249">
        <v>0.67538627999999989</v>
      </c>
      <c r="N20" s="249">
        <v>0.83532835999999999</v>
      </c>
      <c r="O20" s="249">
        <v>0.68344000000000005</v>
      </c>
      <c r="P20" s="226">
        <f t="shared" si="1"/>
        <v>0.99245764800000025</v>
      </c>
      <c r="R20" s="225">
        <f t="shared" si="2"/>
        <v>0.14679419262023541</v>
      </c>
      <c r="S20" s="225">
        <f t="shared" si="3"/>
        <v>-0.11177285144459918</v>
      </c>
      <c r="T20" s="225">
        <f t="shared" si="4"/>
        <v>0.24298045287957828</v>
      </c>
      <c r="U20" s="225">
        <f t="shared" si="5"/>
        <v>0.2316139894203719</v>
      </c>
      <c r="V20" s="225">
        <f t="shared" si="6"/>
        <v>0.13139135182522166</v>
      </c>
      <c r="W20" s="235">
        <v>0.18</v>
      </c>
      <c r="X20" s="204"/>
      <c r="Y20" s="243"/>
      <c r="Z20" s="225">
        <f t="shared" si="7"/>
        <v>-0.7175697180729308</v>
      </c>
      <c r="AA20" s="225">
        <f t="shared" si="8"/>
        <v>0.35424191001541039</v>
      </c>
      <c r="AB20" s="225">
        <f t="shared" si="9"/>
        <v>0.29751247575632545</v>
      </c>
      <c r="AC20" s="225">
        <f t="shared" si="10"/>
        <v>0.44225207774512754</v>
      </c>
      <c r="AD20" s="235">
        <v>0.06</v>
      </c>
      <c r="AE20" s="204"/>
      <c r="AH20" s="258"/>
      <c r="AI20" s="258"/>
      <c r="AJ20" s="258"/>
      <c r="AK20" s="258"/>
      <c r="AL20" s="258"/>
      <c r="AM20" s="209"/>
      <c r="AN20" s="209"/>
      <c r="AO20" s="209"/>
    </row>
    <row r="21" spans="1:41" ht="15" customHeight="1">
      <c r="B21" s="230">
        <f t="shared" si="11"/>
        <v>13</v>
      </c>
      <c r="C21" s="203" t="s">
        <v>324</v>
      </c>
      <c r="D21" s="249">
        <v>0.27061649999999998</v>
      </c>
      <c r="E21" s="249">
        <v>0.55574999999999997</v>
      </c>
      <c r="F21" s="249">
        <v>1.438634</v>
      </c>
      <c r="G21" s="249">
        <v>6.6521859999999986</v>
      </c>
      <c r="H21" s="249">
        <v>2.7149999999999999</v>
      </c>
      <c r="I21" s="226">
        <f t="shared" si="0"/>
        <v>3.0136500000000002</v>
      </c>
      <c r="J21" s="248"/>
      <c r="K21" s="249">
        <v>4.0592475000000003E-2</v>
      </c>
      <c r="L21" s="249">
        <v>8.3362499999999992E-2</v>
      </c>
      <c r="M21" s="249">
        <v>0.24862500000000001</v>
      </c>
      <c r="N21" s="249">
        <v>1.2463875</v>
      </c>
      <c r="O21" s="249">
        <v>0.59729999999999994</v>
      </c>
      <c r="P21" s="226">
        <f t="shared" si="1"/>
        <v>0.66300300000000001</v>
      </c>
      <c r="R21" s="225">
        <f t="shared" si="2"/>
        <v>0.15000000000000002</v>
      </c>
      <c r="S21" s="225">
        <f t="shared" si="3"/>
        <v>0.15</v>
      </c>
      <c r="T21" s="225">
        <f t="shared" si="4"/>
        <v>0.17282018915165359</v>
      </c>
      <c r="U21" s="225">
        <f t="shared" si="5"/>
        <v>0.18736510073530721</v>
      </c>
      <c r="V21" s="225">
        <f t="shared" si="6"/>
        <v>0.22</v>
      </c>
      <c r="W21" s="235">
        <v>0.22</v>
      </c>
      <c r="X21" s="204"/>
      <c r="Y21" s="243"/>
      <c r="Z21" s="225">
        <f t="shared" si="7"/>
        <v>1.0536441791243329</v>
      </c>
      <c r="AA21" s="225">
        <f t="shared" si="8"/>
        <v>1.5886351776878094</v>
      </c>
      <c r="AB21" s="225">
        <f t="shared" si="9"/>
        <v>3.6239599508978646</v>
      </c>
      <c r="AC21" s="225">
        <f t="shared" si="10"/>
        <v>-0.59186348667941635</v>
      </c>
      <c r="AD21" s="235">
        <v>0.11</v>
      </c>
      <c r="AE21" s="204"/>
      <c r="AH21" s="258"/>
      <c r="AI21" s="258"/>
      <c r="AJ21" s="258"/>
      <c r="AK21" s="258"/>
      <c r="AL21" s="258"/>
      <c r="AM21" s="209"/>
      <c r="AN21" s="209"/>
      <c r="AO21" s="209"/>
    </row>
    <row r="22" spans="1:41" ht="15" customHeight="1">
      <c r="B22" s="230">
        <f t="shared" si="11"/>
        <v>14</v>
      </c>
      <c r="C22" s="203" t="s">
        <v>325</v>
      </c>
      <c r="D22" s="249">
        <v>7.4288767500000006</v>
      </c>
      <c r="E22" s="249">
        <v>10.033049999999999</v>
      </c>
      <c r="F22" s="249">
        <v>6.4796125</v>
      </c>
      <c r="G22" s="249">
        <v>6.1958250000000001</v>
      </c>
      <c r="H22" s="249">
        <v>16.464739999999999</v>
      </c>
      <c r="I22" s="226">
        <f t="shared" si="0"/>
        <v>17.452624400000001</v>
      </c>
      <c r="J22" s="248"/>
      <c r="K22" s="249">
        <v>1.1548829549999999</v>
      </c>
      <c r="L22" s="249">
        <v>1.1693579999999999</v>
      </c>
      <c r="M22" s="249">
        <v>0.88124215000000017</v>
      </c>
      <c r="N22" s="249">
        <v>0.90957975000000002</v>
      </c>
      <c r="O22" s="249">
        <v>3.292948</v>
      </c>
      <c r="P22" s="226">
        <f t="shared" si="1"/>
        <v>3.4905248800000006</v>
      </c>
      <c r="R22" s="225">
        <f t="shared" si="2"/>
        <v>0.15545862367416444</v>
      </c>
      <c r="S22" s="225">
        <f t="shared" si="3"/>
        <v>0.11655060026612046</v>
      </c>
      <c r="T22" s="225">
        <f t="shared" si="4"/>
        <v>0.13600229180371515</v>
      </c>
      <c r="U22" s="225">
        <f t="shared" si="5"/>
        <v>0.14680526806357508</v>
      </c>
      <c r="V22" s="225">
        <f t="shared" si="6"/>
        <v>0.2</v>
      </c>
      <c r="W22" s="235">
        <v>0.2</v>
      </c>
      <c r="X22" s="204"/>
      <c r="Y22" s="243"/>
      <c r="Z22" s="225">
        <f t="shared" si="7"/>
        <v>0.35054737581963491</v>
      </c>
      <c r="AA22" s="225">
        <f t="shared" si="8"/>
        <v>-0.35417320754905035</v>
      </c>
      <c r="AB22" s="225">
        <f t="shared" si="9"/>
        <v>-4.3796986316697151E-2</v>
      </c>
      <c r="AC22" s="225">
        <f t="shared" si="10"/>
        <v>1.6573926797480558</v>
      </c>
      <c r="AD22" s="235">
        <v>0.06</v>
      </c>
      <c r="AE22" s="204"/>
      <c r="AH22" s="258"/>
      <c r="AI22" s="258"/>
      <c r="AJ22" s="258"/>
      <c r="AK22" s="258"/>
      <c r="AL22" s="258"/>
      <c r="AM22" s="209"/>
      <c r="AN22" s="209"/>
      <c r="AO22" s="209"/>
    </row>
    <row r="23" spans="1:41" ht="15" customHeight="1">
      <c r="B23" s="230">
        <f t="shared" si="11"/>
        <v>15</v>
      </c>
      <c r="C23" s="203" t="s">
        <v>326</v>
      </c>
      <c r="D23" s="248">
        <v>0</v>
      </c>
      <c r="E23" s="248">
        <v>0</v>
      </c>
      <c r="F23" s="248">
        <v>3.5000000000000003E-2</v>
      </c>
      <c r="G23" s="248">
        <v>0.20200000000000001</v>
      </c>
      <c r="H23" s="248">
        <v>0.62026099999999995</v>
      </c>
      <c r="I23" s="226">
        <f t="shared" si="0"/>
        <v>0.62026099999999995</v>
      </c>
      <c r="J23" s="248"/>
      <c r="K23" s="248">
        <v>0</v>
      </c>
      <c r="L23" s="248">
        <v>0</v>
      </c>
      <c r="M23" s="248">
        <v>0.496</v>
      </c>
      <c r="N23" s="248">
        <v>2.8000000000000001E-2</v>
      </c>
      <c r="O23" s="248">
        <v>0.10905051</v>
      </c>
      <c r="P23" s="226">
        <f t="shared" si="1"/>
        <v>9.9241759999999998E-2</v>
      </c>
      <c r="R23" s="225">
        <f t="shared" si="2"/>
        <v>0</v>
      </c>
      <c r="S23" s="225">
        <f t="shared" si="3"/>
        <v>0</v>
      </c>
      <c r="T23" s="225">
        <f t="shared" si="4"/>
        <v>14.171428571428571</v>
      </c>
      <c r="U23" s="225">
        <f t="shared" si="5"/>
        <v>0.1386138613861386</v>
      </c>
      <c r="V23" s="225">
        <f t="shared" si="6"/>
        <v>0.1758139073712518</v>
      </c>
      <c r="W23" s="235">
        <v>0.16</v>
      </c>
      <c r="X23" s="204"/>
      <c r="Y23" s="243"/>
      <c r="Z23" s="225">
        <f t="shared" si="7"/>
        <v>0</v>
      </c>
      <c r="AA23" s="225">
        <f t="shared" si="8"/>
        <v>0</v>
      </c>
      <c r="AB23" s="225">
        <f t="shared" si="9"/>
        <v>4.7714285714285714</v>
      </c>
      <c r="AC23" s="225">
        <f t="shared" si="10"/>
        <v>2.0705990099009899</v>
      </c>
      <c r="AD23" s="215"/>
      <c r="AE23" s="204"/>
      <c r="AH23" s="258"/>
      <c r="AI23" s="258"/>
      <c r="AJ23" s="258"/>
      <c r="AK23" s="258"/>
      <c r="AL23" s="258"/>
      <c r="AN23" s="267"/>
    </row>
    <row r="24" spans="1:41" s="188" customFormat="1" ht="15" customHeight="1">
      <c r="B24" s="221"/>
      <c r="C24" s="221" t="s">
        <v>373</v>
      </c>
      <c r="D24" s="219">
        <f t="shared" ref="D24:I24" si="12">SUM(D9:D23)</f>
        <v>227.59770224999997</v>
      </c>
      <c r="E24" s="219">
        <f t="shared" si="12"/>
        <v>202.94023202826949</v>
      </c>
      <c r="F24" s="219">
        <f t="shared" si="12"/>
        <v>314.58472250747087</v>
      </c>
      <c r="G24" s="219">
        <f t="shared" si="12"/>
        <v>295.44871146005926</v>
      </c>
      <c r="H24" s="219">
        <f t="shared" si="12"/>
        <v>291.33648381000006</v>
      </c>
      <c r="I24" s="219">
        <f t="shared" si="12"/>
        <v>300.89318496057103</v>
      </c>
      <c r="J24" s="284"/>
      <c r="K24" s="219">
        <f t="shared" ref="K24:P24" si="13">SUM(K9:K23)</f>
        <v>32.603805999999999</v>
      </c>
      <c r="L24" s="219">
        <f t="shared" si="13"/>
        <v>25.586642613750001</v>
      </c>
      <c r="M24" s="219">
        <f t="shared" si="13"/>
        <v>39.182573935478153</v>
      </c>
      <c r="N24" s="219">
        <f t="shared" si="13"/>
        <v>40.581876543158046</v>
      </c>
      <c r="O24" s="219">
        <f t="shared" si="13"/>
        <v>35.233182939999956</v>
      </c>
      <c r="P24" s="219">
        <f t="shared" ca="1" si="13"/>
        <v>39.303584671146631</v>
      </c>
      <c r="R24" s="217">
        <f t="shared" si="2"/>
        <v>0.14325191193796422</v>
      </c>
      <c r="S24" s="217">
        <f t="shared" si="3"/>
        <v>0.12607969527789734</v>
      </c>
      <c r="T24" s="217">
        <f t="shared" si="4"/>
        <v>0.12455332739353746</v>
      </c>
      <c r="U24" s="217">
        <f t="shared" si="5"/>
        <v>0.13735675590734189</v>
      </c>
      <c r="V24" s="217">
        <f t="shared" si="6"/>
        <v>0.12093639107341551</v>
      </c>
      <c r="W24" s="217">
        <f ca="1">IFERROR(P24/I24,0)</f>
        <v>0.1306230470999101</v>
      </c>
      <c r="X24" s="283"/>
      <c r="Y24" s="241"/>
      <c r="Z24" s="217">
        <f>IFERROR(E24/D24-1,"--")</f>
        <v>-0.1083379576242206</v>
      </c>
      <c r="AA24" s="217">
        <f>IFERROR(F24/E24-1,"--")</f>
        <v>0.55013483212953718</v>
      </c>
      <c r="AB24" s="217">
        <f>IFERROR(G24/F24-1,"--")</f>
        <v>-6.0829435373986329E-2</v>
      </c>
      <c r="AC24" s="217">
        <f>IFERROR(H24/G24-1,"--")</f>
        <v>-1.3918583803385842E-2</v>
      </c>
      <c r="AD24" s="217">
        <f>IFERROR(I24/H24-1,"--")</f>
        <v>3.2802967296068353E-2</v>
      </c>
      <c r="AE24" s="206"/>
      <c r="AH24" s="282"/>
      <c r="AI24" s="282"/>
      <c r="AJ24" s="282"/>
      <c r="AK24" s="282"/>
      <c r="AL24" s="282"/>
      <c r="AN24" s="281"/>
    </row>
    <row r="25" spans="1:41" s="212" customFormat="1" ht="15" customHeight="1">
      <c r="A25" s="205"/>
      <c r="B25" s="205"/>
      <c r="C25" s="205" t="s">
        <v>304</v>
      </c>
      <c r="D25" s="256"/>
      <c r="E25" s="213">
        <f>E24/D24-1</f>
        <v>-0.1083379576242206</v>
      </c>
      <c r="F25" s="213">
        <f>F24/E24-1</f>
        <v>0.55013483212953718</v>
      </c>
      <c r="G25" s="213">
        <f>G24/F24-1</f>
        <v>-6.0829435373986329E-2</v>
      </c>
      <c r="H25" s="213">
        <f>H24/G24-1</f>
        <v>-1.3918583803385842E-2</v>
      </c>
      <c r="I25" s="213">
        <f>I24/H24-1</f>
        <v>3.2802967296068353E-2</v>
      </c>
      <c r="K25" s="256"/>
      <c r="L25" s="213">
        <f>L24/K24-1</f>
        <v>-0.21522528339942881</v>
      </c>
      <c r="M25" s="213">
        <f>M24/L24-1</f>
        <v>0.53136832084494889</v>
      </c>
      <c r="N25" s="213">
        <f>N24/M24-1</f>
        <v>3.5712370759106271E-2</v>
      </c>
      <c r="O25" s="213">
        <f>O24/N24-1</f>
        <v>-0.13180005605383616</v>
      </c>
      <c r="P25" s="213">
        <f ca="1">P24/O24-1</f>
        <v>0.115527505365562</v>
      </c>
      <c r="R25" s="214"/>
      <c r="S25" s="213"/>
      <c r="T25" s="213"/>
      <c r="U25" s="213"/>
      <c r="V25" s="213"/>
      <c r="W25" s="213"/>
      <c r="Y25" s="222"/>
      <c r="Z25" s="225"/>
      <c r="AA25" s="225"/>
      <c r="AB25" s="225"/>
      <c r="AC25" s="225"/>
      <c r="AD25" s="225"/>
      <c r="AH25" s="276"/>
      <c r="AI25" s="276"/>
      <c r="AJ25" s="276"/>
      <c r="AK25" s="276"/>
      <c r="AL25" s="276"/>
      <c r="AN25" s="275"/>
    </row>
    <row r="26" spans="1:41" s="189" customFormat="1" ht="5.25" customHeight="1">
      <c r="A26" s="196"/>
      <c r="B26" s="196"/>
      <c r="C26" s="196"/>
      <c r="D26" s="223"/>
      <c r="E26" s="213"/>
      <c r="F26" s="213"/>
      <c r="G26" s="213"/>
      <c r="H26" s="213"/>
      <c r="I26" s="213"/>
      <c r="K26" s="223"/>
      <c r="L26" s="213"/>
      <c r="M26" s="213"/>
      <c r="N26" s="213"/>
      <c r="O26" s="213"/>
      <c r="P26" s="213"/>
      <c r="R26" s="238"/>
      <c r="S26" s="237"/>
      <c r="T26" s="237"/>
      <c r="U26" s="237"/>
      <c r="V26" s="213"/>
      <c r="W26" s="237"/>
      <c r="X26" s="264"/>
      <c r="Y26" s="243"/>
      <c r="Z26" s="225"/>
      <c r="AA26" s="225"/>
      <c r="AB26" s="225"/>
      <c r="AC26" s="225"/>
      <c r="AD26" s="225"/>
      <c r="AE26" s="212"/>
      <c r="AH26" s="276"/>
      <c r="AI26" s="276"/>
      <c r="AJ26" s="276"/>
      <c r="AK26" s="276"/>
      <c r="AL26" s="276"/>
      <c r="AN26" s="275"/>
    </row>
    <row r="27" spans="1:41" s="189" customFormat="1" ht="15" customHeight="1">
      <c r="A27" s="196"/>
      <c r="B27" s="196"/>
      <c r="C27" s="186" t="s">
        <v>374</v>
      </c>
      <c r="D27" s="244">
        <f t="shared" ref="D27:I27" si="14">D30-D24</f>
        <v>329.60544369000002</v>
      </c>
      <c r="E27" s="244">
        <f t="shared" si="14"/>
        <v>316.18913628173038</v>
      </c>
      <c r="F27" s="244">
        <f t="shared" si="14"/>
        <v>305.09223747252901</v>
      </c>
      <c r="G27" s="244">
        <f t="shared" si="14"/>
        <v>356.48742576994073</v>
      </c>
      <c r="H27" s="244">
        <f t="shared" si="14"/>
        <v>363.8224621266375</v>
      </c>
      <c r="I27" s="244">
        <f t="shared" si="14"/>
        <v>369.76752700833322</v>
      </c>
      <c r="J27" s="280"/>
      <c r="K27" s="244">
        <f t="shared" ref="K27:P27" si="15">K30-K24</f>
        <v>67.073543079999951</v>
      </c>
      <c r="L27" s="244">
        <f t="shared" si="15"/>
        <v>67.817384056249963</v>
      </c>
      <c r="M27" s="244">
        <f t="shared" si="15"/>
        <v>69.552281794521747</v>
      </c>
      <c r="N27" s="244">
        <f t="shared" si="15"/>
        <v>76.445160426841852</v>
      </c>
      <c r="O27" s="244">
        <f t="shared" si="15"/>
        <v>77.931620370876544</v>
      </c>
      <c r="P27" s="244">
        <f t="shared" ca="1" si="15"/>
        <v>77.46232381283437</v>
      </c>
      <c r="R27" s="225">
        <f t="shared" ref="R27:W27" si="16">IFERROR(K27/D27,"--")</f>
        <v>0.20349646634806146</v>
      </c>
      <c r="S27" s="225">
        <f t="shared" si="16"/>
        <v>0.2144835994486016</v>
      </c>
      <c r="T27" s="225">
        <f t="shared" si="16"/>
        <v>0.2279713255594854</v>
      </c>
      <c r="U27" s="225">
        <f t="shared" si="16"/>
        <v>0.21443999114901674</v>
      </c>
      <c r="V27" s="225">
        <f t="shared" si="16"/>
        <v>0.21420233350999229</v>
      </c>
      <c r="W27" s="225">
        <f t="shared" ca="1" si="16"/>
        <v>0.20948925515324834</v>
      </c>
      <c r="X27" s="264"/>
      <c r="Y27" s="243"/>
      <c r="Z27" s="225">
        <f>IFERROR(E27/D27-1,"--")</f>
        <v>-4.0704143894200739E-2</v>
      </c>
      <c r="AA27" s="225">
        <f>IFERROR(F27/E27-1,"--")</f>
        <v>-3.5095762427820532E-2</v>
      </c>
      <c r="AB27" s="225">
        <f>IFERROR(G27/F27-1,"--")</f>
        <v>0.16845786940757357</v>
      </c>
      <c r="AC27" s="225">
        <f>IFERROR(H27/G27-1,"--")</f>
        <v>2.057586278353174E-2</v>
      </c>
      <c r="AD27" s="225">
        <f>IFERROR(I27/H27-1,"--")</f>
        <v>1.6340565799443096E-2</v>
      </c>
      <c r="AE27" s="225"/>
      <c r="AH27" s="276"/>
      <c r="AI27" s="276"/>
      <c r="AJ27" s="276"/>
      <c r="AK27" s="276"/>
      <c r="AL27" s="276"/>
      <c r="AN27" s="275"/>
    </row>
    <row r="28" spans="1:41" s="212" customFormat="1" ht="15" customHeight="1">
      <c r="A28" s="205"/>
      <c r="B28" s="205"/>
      <c r="C28" s="212" t="s">
        <v>304</v>
      </c>
      <c r="D28" s="256"/>
      <c r="E28" s="224">
        <f>E27/D27-1</f>
        <v>-4.0704143894200739E-2</v>
      </c>
      <c r="F28" s="224">
        <f>F27/E27-1</f>
        <v>-3.5095762427820532E-2</v>
      </c>
      <c r="G28" s="224">
        <f>G27/F27-1</f>
        <v>0.16845786940757357</v>
      </c>
      <c r="H28" s="224">
        <f>H27/G27-1</f>
        <v>2.057586278353174E-2</v>
      </c>
      <c r="I28" s="224">
        <f>I27/H27-1</f>
        <v>1.6340565799443096E-2</v>
      </c>
      <c r="K28" s="256"/>
      <c r="L28" s="224">
        <f>L27/K27-1</f>
        <v>1.1089931172456824E-2</v>
      </c>
      <c r="M28" s="224">
        <f>M27/L27-1</f>
        <v>2.5581902965068792E-2</v>
      </c>
      <c r="N28" s="224">
        <f>N27/M27-1</f>
        <v>9.9103558567405825E-2</v>
      </c>
      <c r="O28" s="224">
        <f>O27/N27-1</f>
        <v>1.9444788077294106E-2</v>
      </c>
      <c r="P28" s="224">
        <f ca="1">P27/O27-1</f>
        <v>-6.0219017108690265E-3</v>
      </c>
      <c r="R28" s="214"/>
      <c r="S28" s="213"/>
      <c r="T28" s="213"/>
      <c r="U28" s="213"/>
      <c r="V28" s="213"/>
      <c r="W28" s="213"/>
      <c r="Y28" s="222"/>
      <c r="Z28" s="213"/>
      <c r="AA28" s="213"/>
      <c r="AB28" s="213"/>
      <c r="AC28" s="213"/>
      <c r="AD28" s="213"/>
      <c r="AE28" s="213"/>
      <c r="AH28" s="276"/>
      <c r="AI28" s="276"/>
      <c r="AJ28" s="276"/>
      <c r="AK28" s="276"/>
      <c r="AL28" s="276"/>
      <c r="AN28" s="275"/>
    </row>
    <row r="29" spans="1:41" s="189" customFormat="1" ht="5.25" customHeight="1">
      <c r="A29" s="196"/>
      <c r="B29" s="196"/>
      <c r="C29" s="196"/>
      <c r="D29" s="223"/>
      <c r="E29" s="213"/>
      <c r="F29" s="213"/>
      <c r="G29" s="213"/>
      <c r="H29" s="213"/>
      <c r="I29" s="213"/>
      <c r="K29" s="223"/>
      <c r="L29" s="213"/>
      <c r="M29" s="213"/>
      <c r="N29" s="213"/>
      <c r="O29" s="213"/>
      <c r="P29" s="213"/>
      <c r="R29" s="238"/>
      <c r="S29" s="237"/>
      <c r="T29" s="237"/>
      <c r="U29" s="237"/>
      <c r="V29" s="213"/>
      <c r="W29" s="237"/>
      <c r="X29" s="264"/>
      <c r="Y29" s="243"/>
      <c r="Z29" s="213"/>
      <c r="AA29" s="213"/>
      <c r="AB29" s="213"/>
      <c r="AC29" s="213"/>
      <c r="AD29" s="213"/>
      <c r="AE29" s="213"/>
      <c r="AH29" s="276"/>
      <c r="AI29" s="276"/>
      <c r="AJ29" s="276"/>
      <c r="AK29" s="276"/>
      <c r="AL29" s="276"/>
      <c r="AN29" s="275"/>
    </row>
    <row r="30" spans="1:41" ht="15" customHeight="1">
      <c r="B30" s="221"/>
      <c r="C30" s="221" t="s">
        <v>375</v>
      </c>
      <c r="D30" s="242">
        <v>557.20314594000001</v>
      </c>
      <c r="E30" s="242">
        <v>519.1293683099999</v>
      </c>
      <c r="F30" s="242">
        <v>619.67695997999988</v>
      </c>
      <c r="G30" s="242">
        <v>651.93613722999999</v>
      </c>
      <c r="H30" s="242">
        <v>655.15894593663756</v>
      </c>
      <c r="I30" s="242">
        <v>670.66071196890425</v>
      </c>
      <c r="K30" s="242">
        <v>99.677349079999942</v>
      </c>
      <c r="L30" s="242">
        <v>93.404026669999965</v>
      </c>
      <c r="M30" s="242">
        <v>108.73485572999989</v>
      </c>
      <c r="N30" s="242">
        <v>117.0270369699999</v>
      </c>
      <c r="O30" s="242">
        <v>113.16480331087649</v>
      </c>
      <c r="P30" s="242">
        <v>116.76590848398099</v>
      </c>
      <c r="R30" s="217">
        <f t="shared" ref="R30:W30" si="17">IFERROR(K30/D30,"--")</f>
        <v>0.17888870478619526</v>
      </c>
      <c r="S30" s="217">
        <f t="shared" si="17"/>
        <v>0.17992437409979747</v>
      </c>
      <c r="T30" s="217">
        <f t="shared" si="17"/>
        <v>0.17547022521784467</v>
      </c>
      <c r="U30" s="217">
        <f t="shared" si="17"/>
        <v>0.17950690303383707</v>
      </c>
      <c r="V30" s="217">
        <f t="shared" si="17"/>
        <v>0.17272877675369636</v>
      </c>
      <c r="W30" s="217">
        <f t="shared" si="17"/>
        <v>0.17410578314805913</v>
      </c>
      <c r="X30" s="204"/>
      <c r="Y30" s="241"/>
      <c r="Z30" s="217">
        <f>IFERROR(E30/D30-1,"--")</f>
        <v>-6.8330155540973769E-2</v>
      </c>
      <c r="AA30" s="217">
        <f>IFERROR(F30/E30-1,"--")</f>
        <v>0.19368503846609131</v>
      </c>
      <c r="AB30" s="217">
        <f>IFERROR(G30/F30-1,"--")</f>
        <v>5.2058054976001245E-2</v>
      </c>
      <c r="AC30" s="217">
        <f>IFERROR(H30/G30-1,"--")</f>
        <v>4.9434423444156828E-3</v>
      </c>
      <c r="AD30" s="217">
        <f>IFERROR(I30/H30-1,"--")</f>
        <v>2.3661076641645851E-2</v>
      </c>
      <c r="AE30" s="279"/>
      <c r="AH30" s="278"/>
      <c r="AI30" s="258"/>
      <c r="AJ30" s="258"/>
      <c r="AK30" s="258"/>
      <c r="AL30" s="258"/>
      <c r="AN30" s="267"/>
    </row>
    <row r="31" spans="1:41" s="212" customFormat="1" ht="15" customHeight="1">
      <c r="A31" s="205"/>
      <c r="B31" s="205"/>
      <c r="C31" s="205" t="s">
        <v>304</v>
      </c>
      <c r="D31" s="277"/>
      <c r="E31" s="213">
        <f>E30/D30-1</f>
        <v>-6.8330155540973769E-2</v>
      </c>
      <c r="F31" s="213">
        <f>F30/E30-1</f>
        <v>0.19368503846609131</v>
      </c>
      <c r="G31" s="213">
        <f>G30/F30-1</f>
        <v>5.2058054976001245E-2</v>
      </c>
      <c r="H31" s="213">
        <f>H30/G30-1</f>
        <v>4.9434423444156828E-3</v>
      </c>
      <c r="I31" s="213">
        <f>I30/H30-1</f>
        <v>2.3661076641645851E-2</v>
      </c>
      <c r="K31" s="277"/>
      <c r="L31" s="213">
        <f>L30/K30-1</f>
        <v>-6.2936288614227509E-2</v>
      </c>
      <c r="M31" s="213">
        <f>M30/L30-1</f>
        <v>0.16413456257260028</v>
      </c>
      <c r="N31" s="213">
        <f>N30/M30-1</f>
        <v>7.626056230387035E-2</v>
      </c>
      <c r="O31" s="213">
        <f>O30/N30-1</f>
        <v>-3.3002917608804361E-2</v>
      </c>
      <c r="P31" s="213">
        <f>P30/O30-1</f>
        <v>3.1821777334882562E-2</v>
      </c>
      <c r="R31" s="214"/>
      <c r="S31" s="213"/>
      <c r="T31" s="213"/>
      <c r="U31" s="213"/>
      <c r="V31" s="213"/>
      <c r="W31" s="213"/>
      <c r="Y31" s="214"/>
      <c r="Z31" s="213"/>
      <c r="AA31" s="213"/>
      <c r="AB31" s="213"/>
      <c r="AC31" s="213"/>
      <c r="AD31" s="213"/>
      <c r="AH31" s="276"/>
      <c r="AI31" s="276"/>
      <c r="AJ31" s="276"/>
      <c r="AK31" s="276"/>
      <c r="AL31" s="276"/>
      <c r="AN31" s="275"/>
    </row>
    <row r="32" spans="1:41">
      <c r="R32" s="204"/>
      <c r="S32" s="204"/>
      <c r="T32" s="204"/>
      <c r="U32" s="204"/>
      <c r="V32" s="204"/>
      <c r="W32" s="204"/>
      <c r="X32" s="204"/>
      <c r="Y32" s="204"/>
      <c r="Z32" s="204"/>
      <c r="AA32" s="204"/>
      <c r="AB32" s="204"/>
      <c r="AC32" s="204"/>
      <c r="AD32" s="204"/>
      <c r="AE32" s="204"/>
      <c r="AH32" s="258"/>
      <c r="AI32" s="258"/>
      <c r="AJ32" s="258"/>
      <c r="AK32" s="258"/>
      <c r="AL32" s="258"/>
      <c r="AN32" s="267"/>
    </row>
    <row r="33" spans="1:40" ht="20.25" customHeight="1">
      <c r="A33" s="230" t="s">
        <v>1</v>
      </c>
      <c r="B33" s="274" t="s">
        <v>369</v>
      </c>
      <c r="C33" s="274" t="s">
        <v>376</v>
      </c>
      <c r="D33" s="273" t="s">
        <v>189</v>
      </c>
      <c r="E33" s="272"/>
      <c r="F33" s="272"/>
      <c r="G33" s="272"/>
      <c r="H33" s="272"/>
      <c r="I33" s="272"/>
      <c r="K33" s="273" t="s">
        <v>73</v>
      </c>
      <c r="L33" s="272"/>
      <c r="M33" s="272"/>
      <c r="N33" s="272"/>
      <c r="O33" s="272"/>
      <c r="P33" s="272"/>
      <c r="R33" s="273" t="s">
        <v>371</v>
      </c>
      <c r="S33" s="272"/>
      <c r="T33" s="272"/>
      <c r="U33" s="272"/>
      <c r="V33" s="272"/>
      <c r="W33" s="272"/>
      <c r="Y33" s="273" t="s">
        <v>372</v>
      </c>
      <c r="Z33" s="272"/>
      <c r="AA33" s="272"/>
      <c r="AB33" s="272"/>
      <c r="AC33" s="272"/>
      <c r="AD33" s="272"/>
      <c r="AH33" s="258"/>
      <c r="AI33" s="258"/>
      <c r="AJ33" s="258"/>
      <c r="AK33" s="258"/>
      <c r="AL33" s="258"/>
      <c r="AN33" s="267"/>
    </row>
    <row r="34" spans="1:40" ht="15" customHeight="1">
      <c r="B34" s="230">
        <v>1</v>
      </c>
      <c r="C34" s="203" t="s">
        <v>312</v>
      </c>
      <c r="D34" s="248">
        <v>0</v>
      </c>
      <c r="E34" s="248">
        <v>0</v>
      </c>
      <c r="F34" s="248">
        <v>0</v>
      </c>
      <c r="G34" s="248">
        <v>0</v>
      </c>
      <c r="H34" s="248">
        <v>0</v>
      </c>
      <c r="I34" s="226">
        <f t="shared" ref="I34:I48" si="18">IFERROR(H34*(1+AD34),0)</f>
        <v>0</v>
      </c>
      <c r="K34" s="248">
        <v>0</v>
      </c>
      <c r="L34" s="248">
        <v>0</v>
      </c>
      <c r="M34" s="248">
        <v>0</v>
      </c>
      <c r="N34" s="248">
        <v>0</v>
      </c>
      <c r="O34" s="248">
        <v>0</v>
      </c>
      <c r="P34" s="226">
        <f t="shared" ref="P34:P48" si="19">IFERROR(I34*W34,0)</f>
        <v>0</v>
      </c>
      <c r="R34" s="225" t="str">
        <f t="shared" ref="R34:R49" si="20">IFERROR(K34/D34,"--")</f>
        <v>--</v>
      </c>
      <c r="S34" s="225" t="str">
        <f t="shared" ref="S34:S49" si="21">IFERROR(L34/E34,"--")</f>
        <v>--</v>
      </c>
      <c r="T34" s="225" t="str">
        <f t="shared" ref="T34:T49" si="22">IFERROR(M34/F34,"--")</f>
        <v>--</v>
      </c>
      <c r="U34" s="225" t="str">
        <f t="shared" ref="U34:U49" si="23">IFERROR(N34/G34,"--")</f>
        <v>--</v>
      </c>
      <c r="V34" s="225" t="str">
        <f t="shared" ref="V34:V49" si="24">IFERROR(O34/H34,"--")</f>
        <v>--</v>
      </c>
      <c r="W34" s="271"/>
      <c r="Y34" s="243"/>
      <c r="Z34" s="225" t="str">
        <f t="shared" ref="Z34:Z49" si="25">IFERROR(E34/D34-1,"--")</f>
        <v>--</v>
      </c>
      <c r="AA34" s="225" t="str">
        <f t="shared" ref="AA34:AA49" si="26">IFERROR(F34/E34-1,"--")</f>
        <v>--</v>
      </c>
      <c r="AB34" s="225" t="str">
        <f t="shared" ref="AB34:AB49" si="27">IFERROR(G34/F34-1,"--")</f>
        <v>--</v>
      </c>
      <c r="AC34" s="225" t="str">
        <f t="shared" ref="AC34:AC49" si="28">IFERROR(H34/G34-1,"--")</f>
        <v>--</v>
      </c>
      <c r="AD34" s="235">
        <v>0.01</v>
      </c>
      <c r="AH34" s="258"/>
      <c r="AI34" s="258"/>
      <c r="AJ34" s="258"/>
      <c r="AK34" s="258"/>
      <c r="AL34" s="258"/>
      <c r="AM34" s="268" t="str">
        <f>IFERROR(AL34/AK34-1,"")</f>
        <v/>
      </c>
      <c r="AN34" s="267"/>
    </row>
    <row r="35" spans="1:40" ht="15" customHeight="1">
      <c r="B35" s="230">
        <f t="shared" ref="B35:B48" si="29">B34+1</f>
        <v>2</v>
      </c>
      <c r="C35" s="203" t="s">
        <v>313</v>
      </c>
      <c r="D35" s="248">
        <v>0</v>
      </c>
      <c r="E35" s="248">
        <v>0</v>
      </c>
      <c r="F35" s="248">
        <v>0</v>
      </c>
      <c r="G35" s="248">
        <v>0</v>
      </c>
      <c r="H35" s="248">
        <v>0</v>
      </c>
      <c r="I35" s="226">
        <f t="shared" si="18"/>
        <v>0</v>
      </c>
      <c r="K35" s="248">
        <v>0</v>
      </c>
      <c r="L35" s="248">
        <v>0</v>
      </c>
      <c r="M35" s="248">
        <v>0</v>
      </c>
      <c r="N35" s="248">
        <v>0</v>
      </c>
      <c r="O35" s="248">
        <v>0</v>
      </c>
      <c r="P35" s="226">
        <f t="shared" si="19"/>
        <v>0</v>
      </c>
      <c r="R35" s="225" t="str">
        <f t="shared" si="20"/>
        <v>--</v>
      </c>
      <c r="S35" s="225" t="str">
        <f t="shared" si="21"/>
        <v>--</v>
      </c>
      <c r="T35" s="225" t="str">
        <f t="shared" si="22"/>
        <v>--</v>
      </c>
      <c r="U35" s="225" t="str">
        <f t="shared" si="23"/>
        <v>--</v>
      </c>
      <c r="V35" s="225" t="str">
        <f t="shared" si="24"/>
        <v>--</v>
      </c>
      <c r="W35" s="271"/>
      <c r="Y35" s="243"/>
      <c r="Z35" s="225" t="str">
        <f t="shared" si="25"/>
        <v>--</v>
      </c>
      <c r="AA35" s="225" t="str">
        <f t="shared" si="26"/>
        <v>--</v>
      </c>
      <c r="AB35" s="225" t="str">
        <f t="shared" si="27"/>
        <v>--</v>
      </c>
      <c r="AC35" s="225" t="str">
        <f t="shared" si="28"/>
        <v>--</v>
      </c>
      <c r="AD35" s="235">
        <v>0.01</v>
      </c>
      <c r="AH35" s="258"/>
      <c r="AI35" s="258"/>
      <c r="AJ35" s="258"/>
      <c r="AK35" s="258"/>
      <c r="AL35" s="258"/>
      <c r="AM35" s="268" t="str">
        <f>IFERROR(AL35/AK35-1,"")</f>
        <v/>
      </c>
      <c r="AN35" s="267"/>
    </row>
    <row r="36" spans="1:40" ht="15" customHeight="1">
      <c r="B36" s="230">
        <f t="shared" si="29"/>
        <v>3</v>
      </c>
      <c r="C36" s="203" t="s">
        <v>314</v>
      </c>
      <c r="D36" s="249">
        <v>0</v>
      </c>
      <c r="E36" s="249">
        <v>0</v>
      </c>
      <c r="F36" s="249">
        <v>0</v>
      </c>
      <c r="G36" s="249">
        <v>0</v>
      </c>
      <c r="H36" s="249">
        <v>0</v>
      </c>
      <c r="I36" s="226">
        <f t="shared" si="18"/>
        <v>0</v>
      </c>
      <c r="K36" s="249">
        <v>0</v>
      </c>
      <c r="L36" s="249">
        <v>0</v>
      </c>
      <c r="M36" s="249">
        <v>0</v>
      </c>
      <c r="N36" s="249">
        <v>0</v>
      </c>
      <c r="O36" s="249">
        <v>0</v>
      </c>
      <c r="P36" s="226">
        <f t="shared" si="19"/>
        <v>0</v>
      </c>
      <c r="R36" s="225" t="str">
        <f t="shared" si="20"/>
        <v>--</v>
      </c>
      <c r="S36" s="225" t="str">
        <f t="shared" si="21"/>
        <v>--</v>
      </c>
      <c r="T36" s="225" t="str">
        <f t="shared" si="22"/>
        <v>--</v>
      </c>
      <c r="U36" s="225" t="str">
        <f t="shared" si="23"/>
        <v>--</v>
      </c>
      <c r="V36" s="225" t="str">
        <f t="shared" si="24"/>
        <v>--</v>
      </c>
      <c r="W36" s="271"/>
      <c r="Y36" s="243"/>
      <c r="Z36" s="225" t="str">
        <f t="shared" si="25"/>
        <v>--</v>
      </c>
      <c r="AA36" s="225" t="str">
        <f t="shared" si="26"/>
        <v>--</v>
      </c>
      <c r="AB36" s="225" t="str">
        <f t="shared" si="27"/>
        <v>--</v>
      </c>
      <c r="AC36" s="225" t="str">
        <f t="shared" si="28"/>
        <v>--</v>
      </c>
      <c r="AD36" s="235">
        <v>0.01</v>
      </c>
      <c r="AH36" s="258"/>
      <c r="AI36" s="258"/>
      <c r="AJ36" s="258"/>
      <c r="AK36" s="258"/>
      <c r="AL36" s="258"/>
      <c r="AM36" s="268" t="str">
        <f>IFERROR(AL36/AK36-1,"")</f>
        <v/>
      </c>
      <c r="AN36" s="267"/>
    </row>
    <row r="37" spans="1:40" ht="15" customHeight="1">
      <c r="B37" s="230">
        <f t="shared" si="29"/>
        <v>4</v>
      </c>
      <c r="C37" s="203" t="s">
        <v>315</v>
      </c>
      <c r="D37" s="249">
        <v>0.57499999999999996</v>
      </c>
      <c r="E37" s="249">
        <v>0.56599999999999995</v>
      </c>
      <c r="F37" s="249">
        <v>0.16700000000000001</v>
      </c>
      <c r="G37" s="249">
        <v>2.1000000000000001E-2</v>
      </c>
      <c r="H37" s="249">
        <v>9.1265999999999986E-2</v>
      </c>
      <c r="I37" s="226">
        <f t="shared" si="18"/>
        <v>9.2178659999999982E-2</v>
      </c>
      <c r="K37" s="249">
        <v>0.253</v>
      </c>
      <c r="L37" s="249">
        <v>0.255</v>
      </c>
      <c r="M37" s="249">
        <v>7.4999999999999997E-2</v>
      </c>
      <c r="N37" s="249">
        <v>0.01</v>
      </c>
      <c r="O37" s="249">
        <v>2.7379799999999999E-2</v>
      </c>
      <c r="P37" s="226">
        <f t="shared" si="19"/>
        <v>4.4245756799999987E-2</v>
      </c>
      <c r="R37" s="225">
        <f t="shared" si="20"/>
        <v>0.44000000000000006</v>
      </c>
      <c r="S37" s="225">
        <f t="shared" si="21"/>
        <v>0.45053003533568908</v>
      </c>
      <c r="T37" s="225">
        <f t="shared" si="22"/>
        <v>0.44910179640718556</v>
      </c>
      <c r="U37" s="225">
        <f t="shared" si="23"/>
        <v>0.47619047619047616</v>
      </c>
      <c r="V37" s="225">
        <f t="shared" si="24"/>
        <v>0.30000000000000004</v>
      </c>
      <c r="W37" s="235">
        <v>0.48</v>
      </c>
      <c r="Y37" s="243"/>
      <c r="Z37" s="225">
        <f t="shared" si="25"/>
        <v>-1.5652173913043521E-2</v>
      </c>
      <c r="AA37" s="225">
        <f t="shared" si="26"/>
        <v>-0.704946996466431</v>
      </c>
      <c r="AB37" s="225">
        <f t="shared" si="27"/>
        <v>-0.87425149700598803</v>
      </c>
      <c r="AC37" s="225">
        <f t="shared" si="28"/>
        <v>3.3459999999999992</v>
      </c>
      <c r="AD37" s="235">
        <v>0.01</v>
      </c>
      <c r="AH37" s="258"/>
      <c r="AI37" s="258"/>
      <c r="AJ37" s="258"/>
      <c r="AK37" s="258"/>
      <c r="AL37" s="258"/>
      <c r="AM37" s="268"/>
      <c r="AN37" s="267"/>
    </row>
    <row r="38" spans="1:40" ht="15" customHeight="1">
      <c r="B38" s="230">
        <f t="shared" si="29"/>
        <v>5</v>
      </c>
      <c r="C38" s="203" t="s">
        <v>316</v>
      </c>
      <c r="D38" s="249">
        <v>12.8567</v>
      </c>
      <c r="E38" s="249">
        <v>5.6840000000000002</v>
      </c>
      <c r="F38" s="249">
        <v>5.391</v>
      </c>
      <c r="G38" s="249">
        <v>6.8129999999999997</v>
      </c>
      <c r="H38" s="249">
        <v>9.1460000000000008</v>
      </c>
      <c r="I38" s="226">
        <f t="shared" si="18"/>
        <v>10.152060000000002</v>
      </c>
      <c r="K38" s="249">
        <v>5.8277999999999999</v>
      </c>
      <c r="L38" s="249">
        <v>3.3050000000000002</v>
      </c>
      <c r="M38" s="249">
        <v>3.2610000000000001</v>
      </c>
      <c r="N38" s="249">
        <v>4.1310000000000002</v>
      </c>
      <c r="O38" s="249">
        <v>5.62</v>
      </c>
      <c r="P38" s="226">
        <f t="shared" si="19"/>
        <v>5.8223307934655786</v>
      </c>
      <c r="R38" s="225">
        <f t="shared" si="20"/>
        <v>0.45328894661927244</v>
      </c>
      <c r="S38" s="225">
        <f t="shared" si="21"/>
        <v>0.58145672061928222</v>
      </c>
      <c r="T38" s="225">
        <f t="shared" si="22"/>
        <v>0.60489705063995547</v>
      </c>
      <c r="U38" s="225">
        <f t="shared" si="23"/>
        <v>0.60634081902245718</v>
      </c>
      <c r="V38" s="225">
        <f t="shared" si="24"/>
        <v>0.61447627378088776</v>
      </c>
      <c r="W38" s="235">
        <v>0.57351225204200695</v>
      </c>
      <c r="Y38" s="243"/>
      <c r="Z38" s="225">
        <f t="shared" si="25"/>
        <v>-0.55789588308041727</v>
      </c>
      <c r="AA38" s="225">
        <f t="shared" si="26"/>
        <v>-5.1548205489092225E-2</v>
      </c>
      <c r="AB38" s="225">
        <f t="shared" si="27"/>
        <v>0.26377295492487485</v>
      </c>
      <c r="AC38" s="225">
        <f t="shared" si="28"/>
        <v>0.34243358285630432</v>
      </c>
      <c r="AD38" s="235">
        <v>0.11</v>
      </c>
      <c r="AH38" s="258"/>
      <c r="AI38" s="258"/>
      <c r="AJ38" s="258"/>
      <c r="AK38" s="258"/>
      <c r="AL38" s="258"/>
      <c r="AM38" s="268"/>
      <c r="AN38" s="267"/>
    </row>
    <row r="39" spans="1:40" ht="15" customHeight="1">
      <c r="B39" s="230">
        <f t="shared" si="29"/>
        <v>6</v>
      </c>
      <c r="C39" s="203" t="s">
        <v>317</v>
      </c>
      <c r="D39" s="249">
        <v>0</v>
      </c>
      <c r="E39" s="249">
        <v>0</v>
      </c>
      <c r="F39" s="249">
        <v>0</v>
      </c>
      <c r="G39" s="249">
        <v>0</v>
      </c>
      <c r="H39" s="249">
        <v>0</v>
      </c>
      <c r="I39" s="226">
        <f t="shared" si="18"/>
        <v>0</v>
      </c>
      <c r="K39" s="249">
        <v>0</v>
      </c>
      <c r="L39" s="249">
        <v>0</v>
      </c>
      <c r="M39" s="249">
        <v>0</v>
      </c>
      <c r="N39" s="249">
        <v>0</v>
      </c>
      <c r="O39" s="249">
        <v>0</v>
      </c>
      <c r="P39" s="226">
        <f t="shared" si="19"/>
        <v>0</v>
      </c>
      <c r="R39" s="225" t="str">
        <f t="shared" si="20"/>
        <v>--</v>
      </c>
      <c r="S39" s="225" t="str">
        <f t="shared" si="21"/>
        <v>--</v>
      </c>
      <c r="T39" s="225" t="str">
        <f t="shared" si="22"/>
        <v>--</v>
      </c>
      <c r="U39" s="225" t="str">
        <f t="shared" si="23"/>
        <v>--</v>
      </c>
      <c r="V39" s="225" t="str">
        <f t="shared" si="24"/>
        <v>--</v>
      </c>
      <c r="W39" s="235" t="s">
        <v>252</v>
      </c>
      <c r="Y39" s="243"/>
      <c r="Z39" s="225" t="str">
        <f t="shared" si="25"/>
        <v>--</v>
      </c>
      <c r="AA39" s="225" t="str">
        <f t="shared" si="26"/>
        <v>--</v>
      </c>
      <c r="AB39" s="225" t="str">
        <f t="shared" si="27"/>
        <v>--</v>
      </c>
      <c r="AC39" s="225" t="str">
        <f t="shared" si="28"/>
        <v>--</v>
      </c>
      <c r="AD39" s="235">
        <v>0.01</v>
      </c>
      <c r="AH39" s="258"/>
      <c r="AI39" s="258"/>
      <c r="AJ39" s="258"/>
      <c r="AK39" s="258"/>
      <c r="AL39" s="258"/>
      <c r="AM39" s="268"/>
      <c r="AN39" s="267"/>
    </row>
    <row r="40" spans="1:40" ht="15" customHeight="1">
      <c r="B40" s="230">
        <f t="shared" si="29"/>
        <v>7</v>
      </c>
      <c r="C40" s="203" t="s">
        <v>318</v>
      </c>
      <c r="D40" s="249">
        <v>10.8393</v>
      </c>
      <c r="E40" s="249">
        <v>10.647</v>
      </c>
      <c r="F40" s="249">
        <v>10.125</v>
      </c>
      <c r="G40" s="249">
        <v>10.425000000000001</v>
      </c>
      <c r="H40" s="249">
        <v>10.285399999999999</v>
      </c>
      <c r="I40" s="226">
        <f t="shared" si="18"/>
        <v>10.593961999999999</v>
      </c>
      <c r="K40" s="249">
        <v>2.3178000000000001</v>
      </c>
      <c r="L40" s="249">
        <v>2.4790000000000001</v>
      </c>
      <c r="M40" s="249">
        <v>2.593</v>
      </c>
      <c r="N40" s="249">
        <v>2.3410000000000002</v>
      </c>
      <c r="O40" s="249">
        <v>2.3159999999999998</v>
      </c>
      <c r="P40" s="226">
        <f t="shared" si="19"/>
        <v>2.4969271151400578</v>
      </c>
      <c r="R40" s="225">
        <f t="shared" si="20"/>
        <v>0.21383299659572114</v>
      </c>
      <c r="S40" s="225">
        <f t="shared" si="21"/>
        <v>0.23283554052784822</v>
      </c>
      <c r="T40" s="225">
        <f t="shared" si="22"/>
        <v>0.25609876543209875</v>
      </c>
      <c r="U40" s="225">
        <f t="shared" si="23"/>
        <v>0.22455635491606715</v>
      </c>
      <c r="V40" s="225">
        <f t="shared" si="24"/>
        <v>0.22517354696949074</v>
      </c>
      <c r="W40" s="235">
        <v>0.23569341811307781</v>
      </c>
      <c r="Y40" s="243"/>
      <c r="Z40" s="225">
        <f t="shared" si="25"/>
        <v>-1.7740998034928457E-2</v>
      </c>
      <c r="AA40" s="225">
        <f t="shared" si="26"/>
        <v>-4.9027895181741332E-2</v>
      </c>
      <c r="AB40" s="225">
        <f t="shared" si="27"/>
        <v>2.9629629629629672E-2</v>
      </c>
      <c r="AC40" s="225">
        <f t="shared" si="28"/>
        <v>-1.3390887290168019E-2</v>
      </c>
      <c r="AD40" s="235">
        <v>0.03</v>
      </c>
      <c r="AH40" s="258"/>
      <c r="AI40" s="258"/>
      <c r="AJ40" s="258"/>
      <c r="AK40" s="258"/>
      <c r="AL40" s="258"/>
      <c r="AM40" s="268"/>
      <c r="AN40" s="267"/>
    </row>
    <row r="41" spans="1:40" ht="15" customHeight="1">
      <c r="B41" s="230">
        <f t="shared" si="29"/>
        <v>8</v>
      </c>
      <c r="C41" s="203" t="s">
        <v>319</v>
      </c>
      <c r="D41" s="248">
        <v>0</v>
      </c>
      <c r="E41" s="248">
        <v>0</v>
      </c>
      <c r="F41" s="248">
        <v>0</v>
      </c>
      <c r="G41" s="248">
        <v>0</v>
      </c>
      <c r="H41" s="248">
        <v>0</v>
      </c>
      <c r="I41" s="226">
        <f t="shared" si="18"/>
        <v>0</v>
      </c>
      <c r="K41" s="248">
        <v>0</v>
      </c>
      <c r="L41" s="248">
        <v>0</v>
      </c>
      <c r="M41" s="248">
        <v>0</v>
      </c>
      <c r="N41" s="248">
        <v>0</v>
      </c>
      <c r="O41" s="248">
        <v>0</v>
      </c>
      <c r="P41" s="226">
        <f t="shared" si="19"/>
        <v>0</v>
      </c>
      <c r="R41" s="225" t="str">
        <f t="shared" si="20"/>
        <v>--</v>
      </c>
      <c r="S41" s="225" t="str">
        <f t="shared" si="21"/>
        <v>--</v>
      </c>
      <c r="T41" s="225" t="str">
        <f t="shared" si="22"/>
        <v>--</v>
      </c>
      <c r="U41" s="225" t="str">
        <f t="shared" si="23"/>
        <v>--</v>
      </c>
      <c r="V41" s="225" t="str">
        <f t="shared" si="24"/>
        <v>--</v>
      </c>
      <c r="W41" s="235" t="s">
        <v>252</v>
      </c>
      <c r="Y41" s="243"/>
      <c r="Z41" s="225" t="str">
        <f t="shared" si="25"/>
        <v>--</v>
      </c>
      <c r="AA41" s="225" t="str">
        <f t="shared" si="26"/>
        <v>--</v>
      </c>
      <c r="AB41" s="225" t="str">
        <f t="shared" si="27"/>
        <v>--</v>
      </c>
      <c r="AC41" s="225" t="str">
        <f t="shared" si="28"/>
        <v>--</v>
      </c>
      <c r="AD41" s="235">
        <v>0.01</v>
      </c>
      <c r="AH41" s="258"/>
      <c r="AI41" s="258"/>
      <c r="AJ41" s="258"/>
      <c r="AK41" s="258"/>
      <c r="AL41" s="258"/>
      <c r="AM41" s="268"/>
      <c r="AN41" s="267"/>
    </row>
    <row r="42" spans="1:40" ht="15" customHeight="1">
      <c r="B42" s="230">
        <f t="shared" si="29"/>
        <v>9</v>
      </c>
      <c r="C42" s="203" t="s">
        <v>320</v>
      </c>
      <c r="D42" s="249">
        <v>0</v>
      </c>
      <c r="E42" s="249">
        <v>0</v>
      </c>
      <c r="F42" s="249">
        <v>0</v>
      </c>
      <c r="G42" s="249">
        <v>0</v>
      </c>
      <c r="H42" s="249">
        <v>0</v>
      </c>
      <c r="I42" s="226">
        <f t="shared" si="18"/>
        <v>0</v>
      </c>
      <c r="K42" s="249">
        <v>0</v>
      </c>
      <c r="L42" s="249">
        <v>0</v>
      </c>
      <c r="M42" s="249">
        <v>0</v>
      </c>
      <c r="N42" s="249">
        <v>0</v>
      </c>
      <c r="O42" s="249">
        <v>0</v>
      </c>
      <c r="P42" s="226">
        <f t="shared" si="19"/>
        <v>0</v>
      </c>
      <c r="R42" s="225" t="str">
        <f t="shared" si="20"/>
        <v>--</v>
      </c>
      <c r="S42" s="225" t="str">
        <f t="shared" si="21"/>
        <v>--</v>
      </c>
      <c r="T42" s="225" t="str">
        <f t="shared" si="22"/>
        <v>--</v>
      </c>
      <c r="U42" s="225" t="str">
        <f t="shared" si="23"/>
        <v>--</v>
      </c>
      <c r="V42" s="225" t="str">
        <f t="shared" si="24"/>
        <v>--</v>
      </c>
      <c r="W42" s="235" t="s">
        <v>252</v>
      </c>
      <c r="Y42" s="243"/>
      <c r="Z42" s="225" t="str">
        <f t="shared" si="25"/>
        <v>--</v>
      </c>
      <c r="AA42" s="225" t="str">
        <f t="shared" si="26"/>
        <v>--</v>
      </c>
      <c r="AB42" s="225" t="str">
        <f t="shared" si="27"/>
        <v>--</v>
      </c>
      <c r="AC42" s="225" t="str">
        <f t="shared" si="28"/>
        <v>--</v>
      </c>
      <c r="AD42" s="235">
        <v>0.01</v>
      </c>
      <c r="AH42" s="258"/>
      <c r="AI42" s="258"/>
      <c r="AJ42" s="258"/>
      <c r="AK42" s="258"/>
      <c r="AL42" s="258"/>
      <c r="AM42" s="268"/>
      <c r="AN42" s="267"/>
    </row>
    <row r="43" spans="1:40" ht="15" customHeight="1">
      <c r="B43" s="230">
        <f t="shared" si="29"/>
        <v>10</v>
      </c>
      <c r="C43" s="203" t="s">
        <v>321</v>
      </c>
      <c r="D43" s="249">
        <v>1.44E-2</v>
      </c>
      <c r="E43" s="249">
        <v>0.10215</v>
      </c>
      <c r="F43" s="249">
        <v>9.3900000000000011E-2</v>
      </c>
      <c r="G43" s="249">
        <v>1.44E-2</v>
      </c>
      <c r="H43" s="249">
        <v>1.44E-2</v>
      </c>
      <c r="I43" s="226">
        <f t="shared" si="18"/>
        <v>1.4544E-2</v>
      </c>
      <c r="K43" s="249">
        <v>6.0480000000000004E-3</v>
      </c>
      <c r="L43" s="249">
        <v>4.2902999999999997E-2</v>
      </c>
      <c r="M43" s="249">
        <v>3.9438000000000001E-2</v>
      </c>
      <c r="N43" s="249">
        <v>4.3200000000000001E-3</v>
      </c>
      <c r="O43" s="249">
        <v>4.3199999999999992E-3</v>
      </c>
      <c r="P43" s="226">
        <f t="shared" si="19"/>
        <v>4.3631999999999994E-3</v>
      </c>
      <c r="R43" s="225">
        <f t="shared" si="20"/>
        <v>0.42000000000000004</v>
      </c>
      <c r="S43" s="225">
        <f t="shared" si="21"/>
        <v>0.41999999999999993</v>
      </c>
      <c r="T43" s="225">
        <f t="shared" si="22"/>
        <v>0.42</v>
      </c>
      <c r="U43" s="225">
        <f t="shared" si="23"/>
        <v>0.3</v>
      </c>
      <c r="V43" s="225">
        <f t="shared" si="24"/>
        <v>0.29999999999999993</v>
      </c>
      <c r="W43" s="235">
        <v>0.3</v>
      </c>
      <c r="Y43" s="243"/>
      <c r="Z43" s="225">
        <f t="shared" si="25"/>
        <v>6.0937500000000009</v>
      </c>
      <c r="AA43" s="225">
        <f t="shared" si="26"/>
        <v>-8.07635829662261E-2</v>
      </c>
      <c r="AB43" s="225">
        <f t="shared" si="27"/>
        <v>-0.84664536741214058</v>
      </c>
      <c r="AC43" s="225">
        <f t="shared" si="28"/>
        <v>0</v>
      </c>
      <c r="AD43" s="235">
        <v>0.01</v>
      </c>
      <c r="AH43" s="258"/>
      <c r="AI43" s="258"/>
      <c r="AJ43" s="258"/>
      <c r="AK43" s="258"/>
      <c r="AL43" s="258"/>
      <c r="AM43" s="268"/>
      <c r="AN43" s="267"/>
    </row>
    <row r="44" spans="1:40" ht="15" customHeight="1">
      <c r="B44" s="230">
        <f t="shared" si="29"/>
        <v>11</v>
      </c>
      <c r="C44" s="203" t="s">
        <v>322</v>
      </c>
      <c r="D44" s="249">
        <v>0</v>
      </c>
      <c r="E44" s="249">
        <v>0.8769539999999999</v>
      </c>
      <c r="F44" s="249">
        <v>3.9540000000000002</v>
      </c>
      <c r="G44" s="249">
        <v>5.1429999999999998</v>
      </c>
      <c r="H44" s="249">
        <v>9.0310000000000006</v>
      </c>
      <c r="I44" s="226">
        <f t="shared" si="18"/>
        <v>10.475960000000001</v>
      </c>
      <c r="K44" s="249">
        <v>0</v>
      </c>
      <c r="L44" s="249">
        <v>0.29699999999999999</v>
      </c>
      <c r="M44" s="249">
        <v>1.347</v>
      </c>
      <c r="N44" s="249">
        <v>1.677</v>
      </c>
      <c r="O44" s="249">
        <v>2.7092999999999998</v>
      </c>
      <c r="P44" s="226">
        <f t="shared" si="19"/>
        <v>3.4570668000000002</v>
      </c>
      <c r="R44" s="225" t="str">
        <f t="shared" si="20"/>
        <v>--</v>
      </c>
      <c r="S44" s="225">
        <f t="shared" si="21"/>
        <v>0.33867226787265925</v>
      </c>
      <c r="T44" s="225">
        <f t="shared" si="22"/>
        <v>0.34066767830045519</v>
      </c>
      <c r="U44" s="225">
        <f t="shared" si="23"/>
        <v>0.32607427571456349</v>
      </c>
      <c r="V44" s="225">
        <f t="shared" si="24"/>
        <v>0.29999999999999993</v>
      </c>
      <c r="W44" s="235">
        <v>0.33</v>
      </c>
      <c r="Y44" s="243"/>
      <c r="Z44" s="225" t="str">
        <f t="shared" si="25"/>
        <v>--</v>
      </c>
      <c r="AA44" s="225">
        <f t="shared" si="26"/>
        <v>3.5087883743046966</v>
      </c>
      <c r="AB44" s="225">
        <f t="shared" si="27"/>
        <v>0.30070814365199783</v>
      </c>
      <c r="AC44" s="225">
        <f t="shared" si="28"/>
        <v>0.75597900058331735</v>
      </c>
      <c r="AD44" s="235">
        <v>0.16</v>
      </c>
      <c r="AH44" s="258"/>
      <c r="AI44" s="258"/>
      <c r="AJ44" s="258"/>
      <c r="AK44" s="258"/>
      <c r="AL44" s="258"/>
      <c r="AM44" s="268"/>
      <c r="AN44" s="267"/>
    </row>
    <row r="45" spans="1:40" ht="15" customHeight="1">
      <c r="B45" s="230">
        <f t="shared" si="29"/>
        <v>12</v>
      </c>
      <c r="C45" s="203" t="s">
        <v>323</v>
      </c>
      <c r="D45" s="249">
        <v>4.6872749999999998E-2</v>
      </c>
      <c r="E45" s="249">
        <v>1.852743</v>
      </c>
      <c r="F45" s="249">
        <v>5.3117839999999994</v>
      </c>
      <c r="G45" s="249">
        <v>6.1659459999999999</v>
      </c>
      <c r="H45" s="249">
        <v>6.08</v>
      </c>
      <c r="I45" s="226">
        <f t="shared" si="18"/>
        <v>6.1408000000000005</v>
      </c>
      <c r="K45" s="249">
        <v>1.8749100000000001E-2</v>
      </c>
      <c r="L45" s="249">
        <v>0.77815205999999992</v>
      </c>
      <c r="M45" s="249">
        <v>1.7528887200000001</v>
      </c>
      <c r="N45" s="249">
        <v>2.09642164</v>
      </c>
      <c r="O45" s="249">
        <v>2.3035350000000001</v>
      </c>
      <c r="P45" s="226">
        <f t="shared" si="19"/>
        <v>2.0878720000000004</v>
      </c>
      <c r="R45" s="225">
        <f t="shared" si="20"/>
        <v>0.4</v>
      </c>
      <c r="S45" s="225">
        <f t="shared" si="21"/>
        <v>0.41999999999999993</v>
      </c>
      <c r="T45" s="225">
        <f t="shared" si="22"/>
        <v>0.33000000000000007</v>
      </c>
      <c r="U45" s="225">
        <f t="shared" si="23"/>
        <v>0.34</v>
      </c>
      <c r="V45" s="225">
        <f t="shared" si="24"/>
        <v>0.37887088815789477</v>
      </c>
      <c r="W45" s="235">
        <v>0.34</v>
      </c>
      <c r="Y45" s="243"/>
      <c r="Z45" s="225">
        <f t="shared" si="25"/>
        <v>38.527081299902399</v>
      </c>
      <c r="AA45" s="225">
        <f t="shared" si="26"/>
        <v>1.8669837100990256</v>
      </c>
      <c r="AB45" s="225">
        <f t="shared" si="27"/>
        <v>0.16080510803903181</v>
      </c>
      <c r="AC45" s="225">
        <f t="shared" si="28"/>
        <v>-1.3938818147288368E-2</v>
      </c>
      <c r="AD45" s="235">
        <v>0.01</v>
      </c>
      <c r="AH45" s="258"/>
      <c r="AI45" s="258"/>
      <c r="AJ45" s="258"/>
      <c r="AK45" s="258"/>
      <c r="AL45" s="258"/>
      <c r="AM45" s="268"/>
      <c r="AN45" s="267"/>
    </row>
    <row r="46" spans="1:40" ht="15" customHeight="1">
      <c r="B46" s="230">
        <f t="shared" si="29"/>
        <v>13</v>
      </c>
      <c r="C46" s="203" t="s">
        <v>324</v>
      </c>
      <c r="D46" s="249">
        <v>0</v>
      </c>
      <c r="E46" s="249">
        <v>0</v>
      </c>
      <c r="F46" s="249">
        <v>0.218866</v>
      </c>
      <c r="G46" s="249">
        <v>1.6570640000000001</v>
      </c>
      <c r="H46" s="249">
        <v>3.2</v>
      </c>
      <c r="I46" s="226">
        <f t="shared" si="18"/>
        <v>4.8320000000000007</v>
      </c>
      <c r="K46" s="249">
        <v>0</v>
      </c>
      <c r="L46" s="249">
        <v>0</v>
      </c>
      <c r="M46" s="249">
        <v>0</v>
      </c>
      <c r="N46" s="249">
        <v>0</v>
      </c>
      <c r="O46" s="249">
        <v>9.6000000000000002E-2</v>
      </c>
      <c r="P46" s="226">
        <f t="shared" si="19"/>
        <v>0.14496000000000001</v>
      </c>
      <c r="R46" s="225" t="str">
        <f t="shared" si="20"/>
        <v>--</v>
      </c>
      <c r="S46" s="225" t="str">
        <f t="shared" si="21"/>
        <v>--</v>
      </c>
      <c r="T46" s="225">
        <f t="shared" si="22"/>
        <v>0</v>
      </c>
      <c r="U46" s="225">
        <f t="shared" si="23"/>
        <v>0</v>
      </c>
      <c r="V46" s="225">
        <f t="shared" si="24"/>
        <v>0.03</v>
      </c>
      <c r="W46" s="235">
        <v>0.03</v>
      </c>
      <c r="Y46" s="243"/>
      <c r="Z46" s="225" t="str">
        <f t="shared" si="25"/>
        <v>--</v>
      </c>
      <c r="AA46" s="225" t="str">
        <f t="shared" si="26"/>
        <v>--</v>
      </c>
      <c r="AB46" s="225">
        <f t="shared" si="27"/>
        <v>6.5711348496340225</v>
      </c>
      <c r="AC46" s="225">
        <f t="shared" si="28"/>
        <v>0.93112637773797502</v>
      </c>
      <c r="AD46" s="235">
        <v>0.51</v>
      </c>
      <c r="AH46" s="258"/>
      <c r="AI46" s="258"/>
      <c r="AJ46" s="258"/>
      <c r="AK46" s="258"/>
      <c r="AL46" s="258"/>
      <c r="AM46" s="268"/>
      <c r="AN46" s="267"/>
    </row>
    <row r="47" spans="1:40" ht="15" customHeight="1">
      <c r="B47" s="230">
        <f t="shared" si="29"/>
        <v>14</v>
      </c>
      <c r="C47" s="203" t="s">
        <v>325</v>
      </c>
      <c r="D47" s="249">
        <v>0</v>
      </c>
      <c r="E47" s="249">
        <v>0</v>
      </c>
      <c r="F47" s="249">
        <v>0.13283</v>
      </c>
      <c r="G47" s="249">
        <v>0</v>
      </c>
      <c r="H47" s="249">
        <v>9.8000000000000004E-2</v>
      </c>
      <c r="I47" s="226">
        <f t="shared" si="18"/>
        <v>0.16758000000000001</v>
      </c>
      <c r="K47" s="249">
        <v>0</v>
      </c>
      <c r="L47" s="249">
        <v>0</v>
      </c>
      <c r="M47" s="249">
        <v>3.3207500000000001E-2</v>
      </c>
      <c r="N47" s="249">
        <v>0</v>
      </c>
      <c r="O47" s="249">
        <v>1.8620000000000001E-2</v>
      </c>
      <c r="P47" s="226">
        <f t="shared" si="19"/>
        <v>3.1840199999999999E-2</v>
      </c>
      <c r="R47" s="225" t="str">
        <f t="shared" si="20"/>
        <v>--</v>
      </c>
      <c r="S47" s="225" t="str">
        <f t="shared" si="21"/>
        <v>--</v>
      </c>
      <c r="T47" s="225">
        <f t="shared" si="22"/>
        <v>0.25</v>
      </c>
      <c r="U47" s="225" t="str">
        <f t="shared" si="23"/>
        <v>--</v>
      </c>
      <c r="V47" s="225">
        <f t="shared" si="24"/>
        <v>0.19</v>
      </c>
      <c r="W47" s="235">
        <v>0.19</v>
      </c>
      <c r="Y47" s="243"/>
      <c r="Z47" s="225" t="str">
        <f t="shared" si="25"/>
        <v>--</v>
      </c>
      <c r="AA47" s="225" t="str">
        <f t="shared" si="26"/>
        <v>--</v>
      </c>
      <c r="AB47" s="225">
        <f t="shared" si="27"/>
        <v>-1</v>
      </c>
      <c r="AC47" s="225" t="str">
        <f t="shared" si="28"/>
        <v>--</v>
      </c>
      <c r="AD47" s="235">
        <v>0.71</v>
      </c>
      <c r="AH47" s="258"/>
      <c r="AI47" s="258"/>
      <c r="AJ47" s="258"/>
      <c r="AK47" s="258"/>
      <c r="AL47" s="258"/>
      <c r="AM47" s="268"/>
      <c r="AN47" s="267"/>
    </row>
    <row r="48" spans="1:40" ht="15" customHeight="1">
      <c r="B48" s="230">
        <f t="shared" si="29"/>
        <v>15</v>
      </c>
      <c r="C48" s="203" t="s">
        <v>326</v>
      </c>
      <c r="D48" s="248">
        <v>0</v>
      </c>
      <c r="E48" s="248">
        <v>0</v>
      </c>
      <c r="F48" s="248">
        <v>0</v>
      </c>
      <c r="G48" s="248">
        <v>0</v>
      </c>
      <c r="H48" s="248">
        <v>0.188</v>
      </c>
      <c r="I48" s="226">
        <f t="shared" si="18"/>
        <v>0.42487999999999998</v>
      </c>
      <c r="K48" s="248">
        <v>0</v>
      </c>
      <c r="L48" s="248">
        <v>0</v>
      </c>
      <c r="M48" s="248">
        <v>0</v>
      </c>
      <c r="N48" s="248">
        <v>0</v>
      </c>
      <c r="O48" s="248">
        <v>6.5799999999999997E-2</v>
      </c>
      <c r="P48" s="226">
        <f t="shared" si="19"/>
        <v>0.14870799999999998</v>
      </c>
      <c r="R48" s="225" t="str">
        <f t="shared" si="20"/>
        <v>--</v>
      </c>
      <c r="S48" s="225" t="str">
        <f t="shared" si="21"/>
        <v>--</v>
      </c>
      <c r="T48" s="225" t="str">
        <f t="shared" si="22"/>
        <v>--</v>
      </c>
      <c r="U48" s="225" t="str">
        <f t="shared" si="23"/>
        <v>--</v>
      </c>
      <c r="V48" s="225">
        <f t="shared" si="24"/>
        <v>0.35</v>
      </c>
      <c r="W48" s="235">
        <v>0.35</v>
      </c>
      <c r="Y48" s="243"/>
      <c r="Z48" s="225" t="str">
        <f t="shared" si="25"/>
        <v>--</v>
      </c>
      <c r="AA48" s="225" t="str">
        <f t="shared" si="26"/>
        <v>--</v>
      </c>
      <c r="AB48" s="225" t="str">
        <f t="shared" si="27"/>
        <v>--</v>
      </c>
      <c r="AC48" s="225" t="str">
        <f t="shared" si="28"/>
        <v>--</v>
      </c>
      <c r="AD48" s="235">
        <v>1.26</v>
      </c>
      <c r="AH48" s="258"/>
      <c r="AI48" s="258"/>
      <c r="AJ48" s="258"/>
      <c r="AK48" s="258"/>
      <c r="AL48" s="258"/>
      <c r="AM48" s="268"/>
      <c r="AN48" s="267"/>
    </row>
    <row r="49" spans="1:40" s="188" customFormat="1" ht="15" customHeight="1">
      <c r="B49" s="221"/>
      <c r="C49" s="221" t="s">
        <v>373</v>
      </c>
      <c r="D49" s="219">
        <f t="shared" ref="D49:I49" si="30">SUM(D34:D48)</f>
        <v>24.332272749999998</v>
      </c>
      <c r="E49" s="219">
        <f t="shared" si="30"/>
        <v>19.728847000000002</v>
      </c>
      <c r="F49" s="219">
        <f t="shared" si="30"/>
        <v>25.394379999999995</v>
      </c>
      <c r="G49" s="219">
        <f t="shared" si="30"/>
        <v>30.239409999999999</v>
      </c>
      <c r="H49" s="219">
        <f t="shared" si="30"/>
        <v>38.134066000000004</v>
      </c>
      <c r="I49" s="219">
        <f t="shared" si="30"/>
        <v>42.893964660000009</v>
      </c>
      <c r="J49" s="186"/>
      <c r="K49" s="219">
        <f t="shared" ref="K49:P49" si="31">SUM(K34:K48)</f>
        <v>8.4233971000000007</v>
      </c>
      <c r="L49" s="219">
        <f t="shared" si="31"/>
        <v>7.1570550599999994</v>
      </c>
      <c r="M49" s="219">
        <f t="shared" si="31"/>
        <v>9.1015342199999996</v>
      </c>
      <c r="N49" s="219">
        <f t="shared" si="31"/>
        <v>10.259741640000001</v>
      </c>
      <c r="O49" s="219">
        <f t="shared" si="31"/>
        <v>13.160954800000001</v>
      </c>
      <c r="P49" s="219">
        <f t="shared" si="31"/>
        <v>14.238313865405635</v>
      </c>
      <c r="Q49" s="186"/>
      <c r="R49" s="217">
        <f t="shared" si="20"/>
        <v>0.34618209266949801</v>
      </c>
      <c r="S49" s="217">
        <f t="shared" si="21"/>
        <v>0.36277107628235944</v>
      </c>
      <c r="T49" s="217">
        <f t="shared" si="22"/>
        <v>0.35840742006695975</v>
      </c>
      <c r="U49" s="217">
        <f t="shared" si="23"/>
        <v>0.33928379025913541</v>
      </c>
      <c r="V49" s="217">
        <f t="shared" si="24"/>
        <v>0.34512330261346902</v>
      </c>
      <c r="W49" s="217">
        <f>IFERROR(P49/I49,"--")</f>
        <v>0.33194212701637527</v>
      </c>
      <c r="X49" s="186"/>
      <c r="Y49" s="241"/>
      <c r="Z49" s="217">
        <f t="shared" si="25"/>
        <v>-0.18919012610525654</v>
      </c>
      <c r="AA49" s="217">
        <f t="shared" si="26"/>
        <v>0.28717000035531681</v>
      </c>
      <c r="AB49" s="217">
        <f t="shared" si="27"/>
        <v>0.19079142707953523</v>
      </c>
      <c r="AC49" s="217">
        <f t="shared" si="28"/>
        <v>0.26107176032865742</v>
      </c>
      <c r="AD49" s="270">
        <f>IFERROR(I49/H49-1,"--")</f>
        <v>0.12482011910295654</v>
      </c>
      <c r="AE49" s="186"/>
      <c r="AH49" s="269"/>
      <c r="AI49" s="269"/>
      <c r="AJ49" s="268"/>
      <c r="AK49" s="269"/>
      <c r="AL49" s="269"/>
      <c r="AM49" s="268"/>
      <c r="AN49" s="267"/>
    </row>
    <row r="50" spans="1:40" s="264" customFormat="1" ht="15" customHeight="1">
      <c r="A50" s="266"/>
      <c r="B50" s="266"/>
      <c r="C50" s="266" t="s">
        <v>304</v>
      </c>
      <c r="D50" s="256"/>
      <c r="E50" s="213">
        <f>E49/D49-1</f>
        <v>-0.18919012610525654</v>
      </c>
      <c r="F50" s="213">
        <f>F49/E49-1</f>
        <v>0.28717000035531681</v>
      </c>
      <c r="G50" s="213">
        <f>G49/F49-1</f>
        <v>0.19079142707953523</v>
      </c>
      <c r="H50" s="213">
        <f>H49/G49-1</f>
        <v>0.26107176032865742</v>
      </c>
      <c r="I50" s="213">
        <f>I49/H49-1</f>
        <v>0.12482011910295654</v>
      </c>
      <c r="J50" s="186"/>
      <c r="K50" s="256"/>
      <c r="L50" s="213">
        <f>L49/K49-1</f>
        <v>-0.1503362627887983</v>
      </c>
      <c r="M50" s="213">
        <f>M49/L49-1</f>
        <v>0.27168704777297048</v>
      </c>
      <c r="N50" s="213">
        <f>N49/M49-1</f>
        <v>0.12725408617976952</v>
      </c>
      <c r="O50" s="213">
        <f>O49/N49-1</f>
        <v>0.2827764345145829</v>
      </c>
      <c r="P50" s="213">
        <f>P49/O49-1</f>
        <v>8.1860251157889641E-2</v>
      </c>
      <c r="Q50" s="186"/>
      <c r="R50" s="214"/>
      <c r="S50" s="213"/>
      <c r="T50" s="213"/>
      <c r="U50" s="213"/>
      <c r="V50" s="213"/>
      <c r="W50" s="213"/>
      <c r="X50" s="186"/>
      <c r="Y50" s="243"/>
      <c r="Z50" s="225"/>
      <c r="AA50" s="225"/>
      <c r="AB50" s="225"/>
      <c r="AC50" s="225"/>
      <c r="AD50" s="265">
        <v>0.11482011910295629</v>
      </c>
      <c r="AE50" s="186"/>
      <c r="AH50" s="193"/>
    </row>
    <row r="51" spans="1:40" s="189" customFormat="1" ht="5.25" customHeight="1">
      <c r="A51" s="196"/>
      <c r="B51" s="196"/>
      <c r="C51" s="196"/>
      <c r="D51" s="223"/>
      <c r="E51" s="213"/>
      <c r="F51" s="213"/>
      <c r="G51" s="213"/>
      <c r="H51" s="213"/>
      <c r="I51" s="213"/>
      <c r="J51" s="186"/>
      <c r="K51" s="223"/>
      <c r="L51" s="213"/>
      <c r="M51" s="213"/>
      <c r="N51" s="213"/>
      <c r="O51" s="213"/>
      <c r="P51" s="213"/>
      <c r="Q51" s="186"/>
      <c r="R51" s="214"/>
      <c r="S51" s="213"/>
      <c r="T51" s="213"/>
      <c r="U51" s="213"/>
      <c r="V51" s="213"/>
      <c r="W51" s="213"/>
      <c r="X51" s="186"/>
      <c r="Y51" s="243"/>
      <c r="Z51" s="225"/>
      <c r="AA51" s="225"/>
      <c r="AB51" s="225"/>
      <c r="AC51" s="225"/>
      <c r="AD51" s="225"/>
      <c r="AE51" s="186"/>
      <c r="AH51" s="193"/>
    </row>
    <row r="52" spans="1:40" s="189" customFormat="1" ht="15" customHeight="1">
      <c r="A52" s="196"/>
      <c r="B52" s="196"/>
      <c r="C52" s="186" t="s">
        <v>374</v>
      </c>
      <c r="D52" s="244">
        <f t="shared" ref="D52:I52" si="32">D55-D49</f>
        <v>57.537435990000006</v>
      </c>
      <c r="E52" s="244">
        <f t="shared" si="32"/>
        <v>55.895759580000004</v>
      </c>
      <c r="F52" s="244">
        <f t="shared" si="32"/>
        <v>60.153236600000014</v>
      </c>
      <c r="G52" s="244">
        <f t="shared" si="32"/>
        <v>59.750486389999985</v>
      </c>
      <c r="H52" s="244">
        <f t="shared" si="32"/>
        <v>64.415467747633699</v>
      </c>
      <c r="I52" s="244">
        <f t="shared" si="32"/>
        <v>71.193220956747595</v>
      </c>
      <c r="J52" s="186"/>
      <c r="K52" s="244">
        <f t="shared" ref="K52:P52" si="33">K55-K49</f>
        <v>12.335526719999988</v>
      </c>
      <c r="L52" s="244">
        <f t="shared" si="33"/>
        <v>14.080790309999999</v>
      </c>
      <c r="M52" s="244">
        <f t="shared" si="33"/>
        <v>18.378888000000003</v>
      </c>
      <c r="N52" s="244">
        <f t="shared" si="33"/>
        <v>15.986818119999999</v>
      </c>
      <c r="O52" s="244">
        <f t="shared" si="33"/>
        <v>15.206236222649009</v>
      </c>
      <c r="P52" s="244">
        <f t="shared" si="33"/>
        <v>18.19553307965122</v>
      </c>
      <c r="Q52" s="186"/>
      <c r="R52" s="225">
        <f t="shared" ref="R52:W52" si="34">IFERROR(K52/D52,"--")</f>
        <v>0.21439131771780551</v>
      </c>
      <c r="S52" s="225">
        <f t="shared" si="34"/>
        <v>0.25191160144889113</v>
      </c>
      <c r="T52" s="225">
        <f t="shared" si="34"/>
        <v>0.30553448224596447</v>
      </c>
      <c r="U52" s="225">
        <f t="shared" si="34"/>
        <v>0.26755963149239903</v>
      </c>
      <c r="V52" s="225">
        <f t="shared" si="34"/>
        <v>0.23606498181809152</v>
      </c>
      <c r="W52" s="225">
        <f t="shared" si="34"/>
        <v>0.25557957394153652</v>
      </c>
      <c r="X52" s="186"/>
      <c r="Y52" s="243"/>
      <c r="Z52" s="225">
        <f>IFERROR(E52/D52-1,"--")</f>
        <v>-2.8532317816270525E-2</v>
      </c>
      <c r="AA52" s="225">
        <f>IFERROR(F52/E52-1,"--")</f>
        <v>7.6168157513031964E-2</v>
      </c>
      <c r="AB52" s="225">
        <f>IFERROR(G52/F52-1,"--")</f>
        <v>-6.6954038180553344E-3</v>
      </c>
      <c r="AC52" s="225">
        <f>IFERROR(H52/G52-1,"--")</f>
        <v>7.8074366243392701E-2</v>
      </c>
      <c r="AD52" s="225">
        <f>IFERROR(I52/H52-1,"--")</f>
        <v>0.10521934321221904</v>
      </c>
      <c r="AE52" s="186"/>
      <c r="AH52" s="193"/>
    </row>
    <row r="53" spans="1:40" s="212" customFormat="1" ht="15" customHeight="1">
      <c r="A53" s="205"/>
      <c r="B53" s="205"/>
      <c r="C53" s="212" t="s">
        <v>304</v>
      </c>
      <c r="D53" s="256"/>
      <c r="E53" s="224">
        <f>E52/D52-1</f>
        <v>-2.8532317816270525E-2</v>
      </c>
      <c r="F53" s="224">
        <f>F52/E52-1</f>
        <v>7.6168157513031964E-2</v>
      </c>
      <c r="G53" s="224">
        <f>G52/F52-1</f>
        <v>-6.6954038180553344E-3</v>
      </c>
      <c r="H53" s="224">
        <f>H52/G52-1</f>
        <v>7.8074366243392701E-2</v>
      </c>
      <c r="I53" s="224">
        <f>I52/H52-1</f>
        <v>0.10521934321221904</v>
      </c>
      <c r="J53" s="186"/>
      <c r="K53" s="256"/>
      <c r="L53" s="224">
        <f>L52/K52-1</f>
        <v>0.14148269705989591</v>
      </c>
      <c r="M53" s="224">
        <f>M52/L52-1</f>
        <v>0.30524548660791795</v>
      </c>
      <c r="N53" s="224">
        <f>N52/M52-1</f>
        <v>-0.13015313440073217</v>
      </c>
      <c r="O53" s="224">
        <f>O52/N52-1</f>
        <v>-4.8826595229382042E-2</v>
      </c>
      <c r="P53" s="224">
        <f>P52/O52-1</f>
        <v>0.19658361301462524</v>
      </c>
      <c r="Q53" s="207"/>
      <c r="R53" s="214"/>
      <c r="S53" s="213"/>
      <c r="T53" s="213"/>
      <c r="U53" s="213"/>
      <c r="V53" s="213"/>
      <c r="W53" s="213"/>
      <c r="X53" s="207"/>
      <c r="Y53" s="222"/>
      <c r="Z53" s="213"/>
      <c r="AA53" s="213"/>
      <c r="AB53" s="213"/>
      <c r="AC53" s="213"/>
      <c r="AD53" s="213"/>
      <c r="AE53" s="207"/>
      <c r="AH53" s="193"/>
    </row>
    <row r="54" spans="1:40" s="189" customFormat="1" ht="5.25" customHeight="1">
      <c r="A54" s="196"/>
      <c r="B54" s="196"/>
      <c r="C54" s="196"/>
      <c r="D54" s="223"/>
      <c r="E54" s="213"/>
      <c r="F54" s="213"/>
      <c r="G54" s="213"/>
      <c r="H54" s="213"/>
      <c r="I54" s="213"/>
      <c r="J54" s="186"/>
      <c r="K54" s="223"/>
      <c r="L54" s="213"/>
      <c r="M54" s="213"/>
      <c r="N54" s="213"/>
      <c r="O54" s="213"/>
      <c r="P54" s="213"/>
      <c r="Q54" s="186"/>
      <c r="R54" s="214"/>
      <c r="S54" s="213"/>
      <c r="T54" s="213"/>
      <c r="U54" s="213"/>
      <c r="V54" s="213"/>
      <c r="W54" s="213"/>
      <c r="X54" s="186"/>
      <c r="Y54" s="243"/>
      <c r="Z54" s="213"/>
      <c r="AA54" s="213"/>
      <c r="AB54" s="213"/>
      <c r="AC54" s="213"/>
      <c r="AD54" s="213"/>
      <c r="AE54" s="186"/>
      <c r="AH54" s="193"/>
    </row>
    <row r="55" spans="1:40" ht="15" customHeight="1">
      <c r="B55" s="221"/>
      <c r="C55" s="221" t="s">
        <v>377</v>
      </c>
      <c r="D55" s="242">
        <v>81.869708740000007</v>
      </c>
      <c r="E55" s="242">
        <v>75.624606580000005</v>
      </c>
      <c r="F55" s="242">
        <v>85.547616600000012</v>
      </c>
      <c r="G55" s="242">
        <v>89.989896389999984</v>
      </c>
      <c r="H55" s="242">
        <v>102.5495337476337</v>
      </c>
      <c r="I55" s="242">
        <v>114.0871856167476</v>
      </c>
      <c r="K55" s="242">
        <v>20.758923819999989</v>
      </c>
      <c r="L55" s="242">
        <v>21.237845369999999</v>
      </c>
      <c r="M55" s="242">
        <v>27.480422220000001</v>
      </c>
      <c r="N55" s="242">
        <v>26.24655976</v>
      </c>
      <c r="O55" s="242">
        <v>28.36719102264901</v>
      </c>
      <c r="P55" s="242">
        <v>32.433846945056857</v>
      </c>
      <c r="R55" s="217">
        <f t="shared" ref="R55:W55" si="35">IFERROR(K55/D55,"--")</f>
        <v>0.25356049434505401</v>
      </c>
      <c r="S55" s="217">
        <f t="shared" si="35"/>
        <v>0.28083247411718298</v>
      </c>
      <c r="T55" s="217">
        <f t="shared" si="35"/>
        <v>0.32122954808304965</v>
      </c>
      <c r="U55" s="217">
        <f t="shared" si="35"/>
        <v>0.29166118434287491</v>
      </c>
      <c r="V55" s="217">
        <f t="shared" si="35"/>
        <v>0.27661940513994365</v>
      </c>
      <c r="W55" s="217">
        <f t="shared" si="35"/>
        <v>0.28429000829253237</v>
      </c>
      <c r="Y55" s="241"/>
      <c r="Z55" s="217">
        <f>IFERROR(E55/D55-1,"--")</f>
        <v>-7.6280986656897198E-2</v>
      </c>
      <c r="AA55" s="217">
        <f>IFERROR(F55/E55-1,"--")</f>
        <v>0.13121403824432298</v>
      </c>
      <c r="AB55" s="217">
        <f>IFERROR(G55/F55-1,"--")</f>
        <v>5.1927569306471799E-2</v>
      </c>
      <c r="AC55" s="217">
        <f>IFERROR(H55/G55-1,"--")</f>
        <v>0.13956719433482312</v>
      </c>
      <c r="AD55" s="217">
        <f>IFERROR(I55/H55-1,"--")</f>
        <v>0.11250808704315673</v>
      </c>
      <c r="AH55" s="263"/>
    </row>
    <row r="56" spans="1:40" s="212" customFormat="1" ht="15" customHeight="1">
      <c r="A56" s="205"/>
      <c r="B56" s="205"/>
      <c r="C56" s="205" t="s">
        <v>304</v>
      </c>
      <c r="D56" s="215"/>
      <c r="E56" s="213">
        <f>E55/D55-1</f>
        <v>-7.6280986656897198E-2</v>
      </c>
      <c r="F56" s="213">
        <f>F55/E55-1</f>
        <v>0.13121403824432298</v>
      </c>
      <c r="G56" s="213">
        <f>G55/F55-1</f>
        <v>5.1927569306471799E-2</v>
      </c>
      <c r="H56" s="213">
        <f>H55/G55-1</f>
        <v>0.13956719433482312</v>
      </c>
      <c r="I56" s="213">
        <f>I55/H55-1</f>
        <v>0.11250808704315673</v>
      </c>
      <c r="J56" s="207"/>
      <c r="K56" s="215"/>
      <c r="L56" s="213">
        <f>L55/K55-1</f>
        <v>2.3070634785922639E-2</v>
      </c>
      <c r="M56" s="213">
        <f>M55/L55-1</f>
        <v>0.29393644888375059</v>
      </c>
      <c r="N56" s="213">
        <f>N55/M55-1</f>
        <v>-4.4899690773382961E-2</v>
      </c>
      <c r="O56" s="213">
        <f>O55/N55-1</f>
        <v>8.0796541795960186E-2</v>
      </c>
      <c r="P56" s="213">
        <f>P55/O55-1</f>
        <v>0.14335772333471208</v>
      </c>
      <c r="Q56" s="207"/>
      <c r="R56" s="214"/>
      <c r="S56" s="213"/>
      <c r="T56" s="213"/>
      <c r="U56" s="213"/>
      <c r="V56" s="213"/>
      <c r="W56" s="213"/>
      <c r="X56" s="207"/>
      <c r="Y56" s="214"/>
      <c r="Z56" s="213"/>
      <c r="AA56" s="213"/>
      <c r="AB56" s="213"/>
      <c r="AC56" s="213"/>
      <c r="AD56" s="213"/>
      <c r="AE56" s="207"/>
      <c r="AH56" s="240"/>
    </row>
    <row r="57" spans="1:40">
      <c r="R57" s="204"/>
      <c r="S57" s="204"/>
      <c r="T57" s="204"/>
      <c r="U57" s="204"/>
      <c r="V57" s="204"/>
      <c r="W57" s="204"/>
      <c r="Y57" s="204"/>
      <c r="Z57" s="204"/>
      <c r="AA57" s="204"/>
      <c r="AB57" s="204"/>
      <c r="AC57" s="204"/>
      <c r="AD57" s="204"/>
      <c r="AH57" s="240"/>
    </row>
    <row r="58" spans="1:40" ht="20.25" customHeight="1">
      <c r="A58" s="230" t="s">
        <v>1</v>
      </c>
      <c r="B58" s="262" t="s">
        <v>369</v>
      </c>
      <c r="C58" s="262" t="s">
        <v>345</v>
      </c>
      <c r="D58" s="261" t="s">
        <v>189</v>
      </c>
      <c r="E58" s="260"/>
      <c r="F58" s="260"/>
      <c r="G58" s="260"/>
      <c r="H58" s="260"/>
      <c r="I58" s="260"/>
      <c r="K58" s="261" t="s">
        <v>73</v>
      </c>
      <c r="L58" s="260"/>
      <c r="M58" s="260"/>
      <c r="N58" s="260"/>
      <c r="O58" s="260"/>
      <c r="P58" s="260"/>
      <c r="R58" s="261" t="s">
        <v>371</v>
      </c>
      <c r="S58" s="260"/>
      <c r="T58" s="260"/>
      <c r="U58" s="260"/>
      <c r="V58" s="260"/>
      <c r="W58" s="260"/>
      <c r="Y58" s="261" t="s">
        <v>372</v>
      </c>
      <c r="Z58" s="260"/>
      <c r="AA58" s="260"/>
      <c r="AB58" s="260"/>
      <c r="AC58" s="260"/>
      <c r="AD58" s="260"/>
      <c r="AG58" s="251"/>
      <c r="AH58" s="259"/>
      <c r="AI58" s="198"/>
    </row>
    <row r="59" spans="1:40" ht="15" customHeight="1">
      <c r="B59" s="230">
        <v>1</v>
      </c>
      <c r="C59" s="203" t="s">
        <v>312</v>
      </c>
      <c r="D59" s="248">
        <v>2.1983860000000002</v>
      </c>
      <c r="E59" s="248">
        <v>4.4820000000000002</v>
      </c>
      <c r="F59" s="248">
        <v>5.4459999999999997</v>
      </c>
      <c r="G59" s="248">
        <v>7.123367</v>
      </c>
      <c r="H59" s="248">
        <v>7.8250000000000002</v>
      </c>
      <c r="I59" s="226">
        <f t="shared" ref="I59:I73" si="36">IFERROR(H59*(1+AD59),0)</f>
        <v>9.4682499999999994</v>
      </c>
      <c r="J59" s="200"/>
      <c r="K59" s="248">
        <v>0.64115</v>
      </c>
      <c r="L59" s="248">
        <v>1.4179999999999999</v>
      </c>
      <c r="M59" s="248">
        <v>1.3560000000000001</v>
      </c>
      <c r="N59" s="248">
        <v>1.5363</v>
      </c>
      <c r="O59" s="248">
        <v>2.0270000000000001</v>
      </c>
      <c r="P59" s="226">
        <f t="shared" ref="P59:P70" si="37">IFERROR(I59*(W59),0)</f>
        <v>2.1862536753366912</v>
      </c>
      <c r="R59" s="225">
        <f t="shared" ref="R59:R74" si="38">IFERROR(K59/D59,"--")</f>
        <v>0.29164578013142367</v>
      </c>
      <c r="S59" s="225">
        <f t="shared" ref="S59:S74" si="39">IFERROR(L59/E59,"--")</f>
        <v>0.31637661758143681</v>
      </c>
      <c r="T59" s="225">
        <f t="shared" ref="T59:T74" si="40">IFERROR(M59/F59,"--")</f>
        <v>0.2489900844656629</v>
      </c>
      <c r="U59" s="225">
        <f t="shared" ref="U59:U74" si="41">IFERROR(N59/G59,"--")</f>
        <v>0.21567048279275797</v>
      </c>
      <c r="V59" s="225">
        <f t="shared" ref="V59:V74" si="42">IFERROR(O59/H59,"--")</f>
        <v>0.25904153354632586</v>
      </c>
      <c r="W59" s="235">
        <v>0.2309036701963606</v>
      </c>
      <c r="X59" s="207"/>
      <c r="Y59" s="222"/>
      <c r="Z59" s="225">
        <f t="shared" ref="Z59:Z74" si="43">IFERROR(E59/D59-1,"--")</f>
        <v>1.0387684419387679</v>
      </c>
      <c r="AA59" s="225">
        <f t="shared" ref="AA59:AA74" si="44">IFERROR(F59/E59-1,"--")</f>
        <v>0.21508255243194996</v>
      </c>
      <c r="AB59" s="225">
        <f t="shared" ref="AB59:AB74" si="45">IFERROR(G59/F59-1,"--")</f>
        <v>0.30799981637899387</v>
      </c>
      <c r="AC59" s="225">
        <f t="shared" ref="AC59:AC74" si="46">IFERROR(H59/G59-1,"--")</f>
        <v>9.8497381926271776E-2</v>
      </c>
      <c r="AD59" s="235">
        <v>0.21</v>
      </c>
      <c r="AE59" s="207"/>
      <c r="AG59" s="247"/>
      <c r="AH59" s="258"/>
      <c r="AI59" s="258"/>
      <c r="AJ59" s="258"/>
      <c r="AK59" s="258"/>
      <c r="AL59" s="258"/>
    </row>
    <row r="60" spans="1:40" ht="15" customHeight="1">
      <c r="B60" s="230">
        <f t="shared" ref="B60:B73" si="47">B59+1</f>
        <v>2</v>
      </c>
      <c r="C60" s="203" t="s">
        <v>313</v>
      </c>
      <c r="D60" s="248">
        <v>9.8109999999999999</v>
      </c>
      <c r="E60" s="248">
        <v>39.447000000000003</v>
      </c>
      <c r="F60" s="248">
        <v>110.07599999999999</v>
      </c>
      <c r="G60" s="248">
        <v>121.399</v>
      </c>
      <c r="H60" s="248">
        <v>115.474</v>
      </c>
      <c r="I60" s="226">
        <f t="shared" si="36"/>
        <v>113.74189</v>
      </c>
      <c r="J60" s="200"/>
      <c r="K60" s="248">
        <v>1.6040000000000001</v>
      </c>
      <c r="L60" s="248">
        <v>3.7309999999999999</v>
      </c>
      <c r="M60" s="248">
        <v>7.6139999999999999</v>
      </c>
      <c r="N60" s="248">
        <v>10.183999999999999</v>
      </c>
      <c r="O60" s="248">
        <v>10.455</v>
      </c>
      <c r="P60" s="226">
        <f t="shared" si="37"/>
        <v>10.782119517053493</v>
      </c>
      <c r="R60" s="225">
        <f t="shared" si="38"/>
        <v>0.16348996024870044</v>
      </c>
      <c r="S60" s="225">
        <f t="shared" si="39"/>
        <v>9.4582604507313595E-2</v>
      </c>
      <c r="T60" s="225">
        <f t="shared" si="40"/>
        <v>6.9170391365965339E-2</v>
      </c>
      <c r="U60" s="225">
        <f t="shared" si="41"/>
        <v>8.3888664651273898E-2</v>
      </c>
      <c r="V60" s="225">
        <f t="shared" si="42"/>
        <v>9.0539861787068951E-2</v>
      </c>
      <c r="W60" s="235">
        <v>9.4794622430254091E-2</v>
      </c>
      <c r="X60" s="207"/>
      <c r="Y60" s="222"/>
      <c r="Z60" s="225">
        <f t="shared" si="43"/>
        <v>3.0206910610539195</v>
      </c>
      <c r="AA60" s="225">
        <f t="shared" si="44"/>
        <v>1.7904783633736403</v>
      </c>
      <c r="AB60" s="225">
        <f t="shared" si="45"/>
        <v>0.1028652930702425</v>
      </c>
      <c r="AC60" s="225">
        <f t="shared" si="46"/>
        <v>-4.8806003344343818E-2</v>
      </c>
      <c r="AD60" s="235">
        <v>-1.4999999999999999E-2</v>
      </c>
      <c r="AE60" s="207"/>
      <c r="AG60" s="247"/>
      <c r="AI60" s="200"/>
      <c r="AJ60" s="209"/>
    </row>
    <row r="61" spans="1:40" ht="15" customHeight="1">
      <c r="B61" s="230">
        <f t="shared" si="47"/>
        <v>3</v>
      </c>
      <c r="C61" s="203" t="s">
        <v>314</v>
      </c>
      <c r="D61" s="249">
        <v>45.634999999999998</v>
      </c>
      <c r="E61" s="249">
        <v>42.802</v>
      </c>
      <c r="F61" s="249">
        <v>49.741999999999997</v>
      </c>
      <c r="G61" s="249">
        <v>50.344000000000001</v>
      </c>
      <c r="H61" s="249">
        <v>43.582999999999998</v>
      </c>
      <c r="I61" s="226">
        <f t="shared" si="36"/>
        <v>45.326320000000003</v>
      </c>
      <c r="J61" s="200"/>
      <c r="K61" s="249">
        <v>7.3460000000000001</v>
      </c>
      <c r="L61" s="249">
        <v>5.95</v>
      </c>
      <c r="M61" s="249">
        <v>7.5119999999999996</v>
      </c>
      <c r="N61" s="249">
        <v>8.5909999999999993</v>
      </c>
      <c r="O61" s="249">
        <v>7.3479999999999999</v>
      </c>
      <c r="P61" s="226">
        <f t="shared" si="37"/>
        <v>7.8433724402211356</v>
      </c>
      <c r="R61" s="225">
        <f t="shared" si="38"/>
        <v>0.16097293743836968</v>
      </c>
      <c r="S61" s="225">
        <f t="shared" si="39"/>
        <v>0.1390121956917901</v>
      </c>
      <c r="T61" s="225">
        <f t="shared" si="40"/>
        <v>0.1510192593783925</v>
      </c>
      <c r="U61" s="225">
        <f t="shared" si="41"/>
        <v>0.17064595582393133</v>
      </c>
      <c r="V61" s="225">
        <f t="shared" si="42"/>
        <v>0.1685978477846867</v>
      </c>
      <c r="W61" s="235">
        <v>0.17304233920206041</v>
      </c>
      <c r="X61" s="207"/>
      <c r="Y61" s="222"/>
      <c r="Z61" s="225">
        <f t="shared" si="43"/>
        <v>-6.2079544209488247E-2</v>
      </c>
      <c r="AA61" s="225">
        <f t="shared" si="44"/>
        <v>0.16214195598336523</v>
      </c>
      <c r="AB61" s="225">
        <f t="shared" si="45"/>
        <v>1.2102448634956353E-2</v>
      </c>
      <c r="AC61" s="225">
        <f t="shared" si="46"/>
        <v>-0.13429604322262834</v>
      </c>
      <c r="AD61" s="235">
        <v>0.04</v>
      </c>
      <c r="AE61" s="207"/>
      <c r="AG61" s="247"/>
      <c r="AI61" s="200"/>
      <c r="AJ61" s="209"/>
    </row>
    <row r="62" spans="1:40" ht="15" customHeight="1">
      <c r="B62" s="230">
        <f t="shared" si="47"/>
        <v>4</v>
      </c>
      <c r="C62" s="203" t="s">
        <v>315</v>
      </c>
      <c r="D62" s="249">
        <v>6.8883209999999986</v>
      </c>
      <c r="E62" s="249">
        <v>10.321</v>
      </c>
      <c r="F62" s="249">
        <v>12.381</v>
      </c>
      <c r="G62" s="249">
        <v>14.016999999999999</v>
      </c>
      <c r="H62" s="249">
        <v>17.565999999999999</v>
      </c>
      <c r="I62" s="226">
        <f t="shared" si="36"/>
        <v>19.146940000000001</v>
      </c>
      <c r="J62" s="200"/>
      <c r="K62" s="249">
        <v>2.1353795099999999</v>
      </c>
      <c r="L62" s="249">
        <v>3.4060000000000001</v>
      </c>
      <c r="M62" s="249">
        <v>3.9620000000000002</v>
      </c>
      <c r="N62" s="249">
        <v>4.4850000000000003</v>
      </c>
      <c r="O62" s="249">
        <v>5.4820000000000002</v>
      </c>
      <c r="P62" s="226">
        <f t="shared" si="37"/>
        <v>6.2465789782942345</v>
      </c>
      <c r="R62" s="225">
        <f t="shared" si="38"/>
        <v>0.31000000000000005</v>
      </c>
      <c r="S62" s="225">
        <f t="shared" si="39"/>
        <v>0.33000678228853797</v>
      </c>
      <c r="T62" s="225">
        <f t="shared" si="40"/>
        <v>0.32000646151360956</v>
      </c>
      <c r="U62" s="225">
        <f t="shared" si="41"/>
        <v>0.31996860954555184</v>
      </c>
      <c r="V62" s="225">
        <f t="shared" si="42"/>
        <v>0.31208015484458618</v>
      </c>
      <c r="W62" s="235">
        <v>0.32624424468318353</v>
      </c>
      <c r="X62" s="207"/>
      <c r="Y62" s="222"/>
      <c r="Z62" s="225">
        <f t="shared" si="43"/>
        <v>0.49833319324113989</v>
      </c>
      <c r="AA62" s="225">
        <f t="shared" si="44"/>
        <v>0.19959306268772403</v>
      </c>
      <c r="AB62" s="225">
        <f t="shared" si="45"/>
        <v>0.13213795331556422</v>
      </c>
      <c r="AC62" s="225">
        <f t="shared" si="46"/>
        <v>0.25319255190126277</v>
      </c>
      <c r="AD62" s="235">
        <v>0.09</v>
      </c>
      <c r="AE62" s="207"/>
      <c r="AG62" s="247"/>
      <c r="AI62" s="200"/>
      <c r="AJ62" s="209"/>
    </row>
    <row r="63" spans="1:40" ht="15" customHeight="1">
      <c r="B63" s="230">
        <f t="shared" si="47"/>
        <v>5</v>
      </c>
      <c r="C63" s="203" t="s">
        <v>316</v>
      </c>
      <c r="D63" s="249">
        <v>10.0579</v>
      </c>
      <c r="E63" s="249">
        <v>9.6620000000000008</v>
      </c>
      <c r="F63" s="249">
        <v>9.1140000000000008</v>
      </c>
      <c r="G63" s="249">
        <v>14.217000000000001</v>
      </c>
      <c r="H63" s="249">
        <v>20.283999999999999</v>
      </c>
      <c r="I63" s="226">
        <f t="shared" si="36"/>
        <v>18.45844</v>
      </c>
      <c r="J63" s="200"/>
      <c r="K63" s="249">
        <v>0.18</v>
      </c>
      <c r="L63" s="249">
        <v>0.64287300000000003</v>
      </c>
      <c r="M63" s="249">
        <v>1.0580000000000001</v>
      </c>
      <c r="N63" s="249">
        <v>3.8279999999999998</v>
      </c>
      <c r="O63" s="249">
        <v>4.7809999999999997</v>
      </c>
      <c r="P63" s="226">
        <f t="shared" si="37"/>
        <v>4.3301638410596022</v>
      </c>
      <c r="R63" s="225">
        <f t="shared" si="38"/>
        <v>1.7896379960031416E-2</v>
      </c>
      <c r="S63" s="225">
        <f t="shared" si="39"/>
        <v>6.6536224384185466E-2</v>
      </c>
      <c r="T63" s="225">
        <f t="shared" si="40"/>
        <v>0.11608514373491331</v>
      </c>
      <c r="U63" s="225">
        <f t="shared" si="41"/>
        <v>0.26925511711331501</v>
      </c>
      <c r="V63" s="225">
        <f t="shared" si="42"/>
        <v>0.2357030171563794</v>
      </c>
      <c r="W63" s="235">
        <v>0.23458991339786039</v>
      </c>
      <c r="X63" s="207"/>
      <c r="Y63" s="222"/>
      <c r="Z63" s="225">
        <f t="shared" si="43"/>
        <v>-3.9362093478757965E-2</v>
      </c>
      <c r="AA63" s="225">
        <f t="shared" si="44"/>
        <v>-5.6717035810391225E-2</v>
      </c>
      <c r="AB63" s="225">
        <f t="shared" si="45"/>
        <v>0.55990783410138234</v>
      </c>
      <c r="AC63" s="225">
        <f t="shared" si="46"/>
        <v>0.42674263206020946</v>
      </c>
      <c r="AD63" s="235">
        <v>-9.0000000000000011E-2</v>
      </c>
      <c r="AE63" s="207"/>
      <c r="AG63" s="247"/>
      <c r="AI63" s="200"/>
      <c r="AJ63" s="209"/>
    </row>
    <row r="64" spans="1:40" ht="15" customHeight="1">
      <c r="B64" s="230">
        <f t="shared" si="47"/>
        <v>6</v>
      </c>
      <c r="C64" s="203" t="s">
        <v>317</v>
      </c>
      <c r="D64" s="249">
        <v>15.401249999999999</v>
      </c>
      <c r="E64" s="249">
        <v>7.9379999999999997</v>
      </c>
      <c r="F64" s="249">
        <v>10.758749999999999</v>
      </c>
      <c r="G64" s="249">
        <v>16.649999999999999</v>
      </c>
      <c r="H64" s="249">
        <v>16.144380000000002</v>
      </c>
      <c r="I64" s="226">
        <f t="shared" si="36"/>
        <v>13.884166800000001</v>
      </c>
      <c r="J64" s="200"/>
      <c r="K64" s="249">
        <v>1.01956275</v>
      </c>
      <c r="L64" s="249">
        <v>0.55566000000000004</v>
      </c>
      <c r="M64" s="249">
        <v>0.86070000000000002</v>
      </c>
      <c r="N64" s="249">
        <v>1.8314999999999999</v>
      </c>
      <c r="O64" s="249">
        <v>1.7812600000000001</v>
      </c>
      <c r="P64" s="226">
        <f t="shared" si="37"/>
        <v>1.5966831576769387</v>
      </c>
      <c r="R64" s="225">
        <f t="shared" si="38"/>
        <v>6.6199999999999995E-2</v>
      </c>
      <c r="S64" s="225">
        <f t="shared" si="39"/>
        <v>7.0000000000000007E-2</v>
      </c>
      <c r="T64" s="225">
        <f t="shared" si="40"/>
        <v>0.08</v>
      </c>
      <c r="U64" s="225">
        <f t="shared" si="41"/>
        <v>0.11</v>
      </c>
      <c r="V64" s="225">
        <f t="shared" si="42"/>
        <v>0.11033313140547979</v>
      </c>
      <c r="W64" s="235">
        <v>0.11500028634609449</v>
      </c>
      <c r="X64" s="207"/>
      <c r="Y64" s="222"/>
      <c r="Z64" s="225">
        <f t="shared" si="43"/>
        <v>-0.4845872899926954</v>
      </c>
      <c r="AA64" s="225">
        <f t="shared" si="44"/>
        <v>0.35534769463340887</v>
      </c>
      <c r="AB64" s="225">
        <f t="shared" si="45"/>
        <v>0.54757755315440915</v>
      </c>
      <c r="AC64" s="225">
        <f t="shared" si="46"/>
        <v>-3.0367567567567422E-2</v>
      </c>
      <c r="AD64" s="235">
        <v>-0.14000000000000001</v>
      </c>
      <c r="AE64" s="207"/>
      <c r="AG64" s="247"/>
      <c r="AI64" s="200"/>
      <c r="AJ64" s="209"/>
      <c r="AM64" s="211"/>
      <c r="AN64" s="211"/>
    </row>
    <row r="65" spans="1:40" ht="15" customHeight="1">
      <c r="B65" s="230">
        <f t="shared" si="47"/>
        <v>7</v>
      </c>
      <c r="C65" s="203" t="s">
        <v>318</v>
      </c>
      <c r="D65" s="249">
        <v>9.1217999999999986</v>
      </c>
      <c r="E65" s="249">
        <v>13.227</v>
      </c>
      <c r="F65" s="249">
        <v>14.179</v>
      </c>
      <c r="G65" s="249">
        <v>15.726000000000001</v>
      </c>
      <c r="H65" s="249">
        <v>17.907</v>
      </c>
      <c r="I65" s="226">
        <f t="shared" si="36"/>
        <v>18.623280000000001</v>
      </c>
      <c r="J65" s="200"/>
      <c r="K65" s="249">
        <v>2.0806</v>
      </c>
      <c r="L65" s="249">
        <v>2.8809999999999998</v>
      </c>
      <c r="M65" s="249">
        <v>3.476</v>
      </c>
      <c r="N65" s="249">
        <v>4.1960780000000009</v>
      </c>
      <c r="O65" s="249">
        <v>4.6479999999999997</v>
      </c>
      <c r="P65" s="226">
        <f t="shared" si="37"/>
        <v>4.7693288524590169</v>
      </c>
      <c r="R65" s="225">
        <f t="shared" si="38"/>
        <v>0.2280909469622224</v>
      </c>
      <c r="S65" s="225">
        <f t="shared" si="39"/>
        <v>0.21781205110758295</v>
      </c>
      <c r="T65" s="225">
        <f t="shared" si="40"/>
        <v>0.2451512800620636</v>
      </c>
      <c r="U65" s="225">
        <f t="shared" si="41"/>
        <v>0.26682424011191663</v>
      </c>
      <c r="V65" s="225">
        <f t="shared" si="42"/>
        <v>0.25956329926844252</v>
      </c>
      <c r="W65" s="235">
        <v>0.25609499789827661</v>
      </c>
      <c r="X65" s="207"/>
      <c r="Y65" s="222"/>
      <c r="Z65" s="225">
        <f t="shared" si="43"/>
        <v>0.45004275471946342</v>
      </c>
      <c r="AA65" s="225">
        <f t="shared" si="44"/>
        <v>7.1973992590912417E-2</v>
      </c>
      <c r="AB65" s="225">
        <f t="shared" si="45"/>
        <v>0.10910501445800125</v>
      </c>
      <c r="AC65" s="225">
        <f t="shared" si="46"/>
        <v>0.13868752384586025</v>
      </c>
      <c r="AD65" s="235">
        <v>0.04</v>
      </c>
      <c r="AE65" s="207"/>
      <c r="AG65" s="247"/>
      <c r="AI65" s="200"/>
      <c r="AJ65" s="209"/>
      <c r="AN65" s="257"/>
    </row>
    <row r="66" spans="1:40" ht="15" customHeight="1">
      <c r="B66" s="230">
        <f t="shared" si="47"/>
        <v>8</v>
      </c>
      <c r="C66" s="203" t="s">
        <v>319</v>
      </c>
      <c r="D66" s="248">
        <v>0.124</v>
      </c>
      <c r="E66" s="248">
        <v>0.24199999999999999</v>
      </c>
      <c r="F66" s="248">
        <v>0.26200000000000001</v>
      </c>
      <c r="G66" s="248">
        <v>0.14499999999999999</v>
      </c>
      <c r="H66" s="248">
        <v>0.154</v>
      </c>
      <c r="I66" s="226">
        <f t="shared" si="36"/>
        <v>0.15554000000000001</v>
      </c>
      <c r="J66" s="200"/>
      <c r="K66" s="248">
        <v>6.5000000000000002E-2</v>
      </c>
      <c r="L66" s="248">
        <v>7.2999999999999995E-2</v>
      </c>
      <c r="M66" s="248">
        <v>8.4000000000000005E-2</v>
      </c>
      <c r="N66" s="248">
        <v>3.5999999999999997E-2</v>
      </c>
      <c r="O66" s="248">
        <v>4.5999999999999999E-2</v>
      </c>
      <c r="P66" s="226">
        <f t="shared" si="37"/>
        <v>5.1510000000000014E-2</v>
      </c>
      <c r="R66" s="225">
        <f t="shared" si="38"/>
        <v>0.52419354838709675</v>
      </c>
      <c r="S66" s="225">
        <f t="shared" si="39"/>
        <v>0.30165289256198347</v>
      </c>
      <c r="T66" s="225">
        <f t="shared" si="40"/>
        <v>0.3206106870229008</v>
      </c>
      <c r="U66" s="225">
        <f t="shared" si="41"/>
        <v>0.24827586206896551</v>
      </c>
      <c r="V66" s="225">
        <f t="shared" si="42"/>
        <v>0.29870129870129869</v>
      </c>
      <c r="W66" s="235">
        <v>0.33116883116883122</v>
      </c>
      <c r="X66" s="207"/>
      <c r="Y66" s="222"/>
      <c r="Z66" s="225">
        <f t="shared" si="43"/>
        <v>0.95161290322580649</v>
      </c>
      <c r="AA66" s="225">
        <f t="shared" si="44"/>
        <v>8.2644628099173723E-2</v>
      </c>
      <c r="AB66" s="225">
        <f t="shared" si="45"/>
        <v>-0.44656488549618323</v>
      </c>
      <c r="AC66" s="225">
        <f t="shared" si="46"/>
        <v>6.2068965517241503E-2</v>
      </c>
      <c r="AD66" s="235">
        <v>0.01</v>
      </c>
      <c r="AE66" s="207"/>
      <c r="AG66" s="247"/>
      <c r="AI66" s="200"/>
      <c r="AJ66" s="209"/>
    </row>
    <row r="67" spans="1:40" ht="15" customHeight="1">
      <c r="B67" s="230">
        <f t="shared" si="47"/>
        <v>9</v>
      </c>
      <c r="C67" s="203" t="s">
        <v>320</v>
      </c>
      <c r="D67" s="249">
        <v>1.1218999999999999</v>
      </c>
      <c r="E67" s="249">
        <v>5.4039999999999999</v>
      </c>
      <c r="F67" s="249">
        <v>8.1370000000000005</v>
      </c>
      <c r="G67" s="249">
        <v>9.3420000000000005</v>
      </c>
      <c r="H67" s="249">
        <v>9.2536170000000002</v>
      </c>
      <c r="I67" s="226">
        <f t="shared" si="36"/>
        <v>8.4207914700000011</v>
      </c>
      <c r="J67" s="200"/>
      <c r="K67" s="249">
        <v>0.28047499999999997</v>
      </c>
      <c r="L67" s="249">
        <v>1.214</v>
      </c>
      <c r="M67" s="249">
        <v>1.0289999999999999</v>
      </c>
      <c r="N67" s="249">
        <v>4.0000000000000001E-3</v>
      </c>
      <c r="O67" s="249">
        <v>1.224</v>
      </c>
      <c r="P67" s="226">
        <f t="shared" si="37"/>
        <v>1.305734061947369</v>
      </c>
      <c r="R67" s="225">
        <f t="shared" si="38"/>
        <v>0.25</v>
      </c>
      <c r="S67" s="225">
        <f t="shared" si="39"/>
        <v>0.22464840858623242</v>
      </c>
      <c r="T67" s="225">
        <f t="shared" si="40"/>
        <v>0.12645938306501167</v>
      </c>
      <c r="U67" s="225">
        <f t="shared" si="41"/>
        <v>4.2817383857846286E-4</v>
      </c>
      <c r="V67" s="225">
        <f t="shared" si="42"/>
        <v>0.13227260216194381</v>
      </c>
      <c r="W67" s="235">
        <v>0.15506072874493931</v>
      </c>
      <c r="X67" s="207"/>
      <c r="Y67" s="222"/>
      <c r="Z67" s="225">
        <f t="shared" si="43"/>
        <v>3.8168285943488724</v>
      </c>
      <c r="AA67" s="225">
        <f t="shared" si="44"/>
        <v>0.50573649148778688</v>
      </c>
      <c r="AB67" s="225">
        <f t="shared" si="45"/>
        <v>0.14808897628118478</v>
      </c>
      <c r="AC67" s="225">
        <f t="shared" si="46"/>
        <v>-9.4608220937700827E-3</v>
      </c>
      <c r="AD67" s="235">
        <v>-9.0000000000000011E-2</v>
      </c>
      <c r="AE67" s="207"/>
      <c r="AG67" s="247"/>
      <c r="AI67" s="200"/>
      <c r="AJ67" s="209"/>
    </row>
    <row r="68" spans="1:40" ht="15" customHeight="1">
      <c r="B68" s="230">
        <f t="shared" si="47"/>
        <v>10</v>
      </c>
      <c r="C68" s="203" t="s">
        <v>321</v>
      </c>
      <c r="D68" s="249">
        <v>0.75170000000000003</v>
      </c>
      <c r="E68" s="249">
        <v>0.77195000000000003</v>
      </c>
      <c r="F68" s="249">
        <v>1.73969</v>
      </c>
      <c r="G68" s="249">
        <v>1.6031500000000001</v>
      </c>
      <c r="H68" s="249">
        <v>0.63305</v>
      </c>
      <c r="I68" s="226">
        <f t="shared" si="36"/>
        <v>0.57607550000000007</v>
      </c>
      <c r="J68" s="200"/>
      <c r="K68" s="249">
        <v>0.19500000000000001</v>
      </c>
      <c r="L68" s="249">
        <v>0.18912775000000001</v>
      </c>
      <c r="M68" s="249">
        <v>0.42622405000000002</v>
      </c>
      <c r="N68" s="249">
        <v>0.39277174999999998</v>
      </c>
      <c r="O68" s="249">
        <v>0.16036</v>
      </c>
      <c r="P68" s="226">
        <f t="shared" si="37"/>
        <v>0.22260957279408999</v>
      </c>
      <c r="R68" s="225">
        <f t="shared" si="38"/>
        <v>0.2594119994678728</v>
      </c>
      <c r="S68" s="225">
        <f t="shared" si="39"/>
        <v>0.245</v>
      </c>
      <c r="T68" s="225">
        <f t="shared" si="40"/>
        <v>0.24500000000000002</v>
      </c>
      <c r="U68" s="225">
        <f t="shared" si="41"/>
        <v>0.24499999999999997</v>
      </c>
      <c r="V68" s="225">
        <f t="shared" si="42"/>
        <v>0.25331332438196036</v>
      </c>
      <c r="W68" s="235">
        <v>0.38642430166547609</v>
      </c>
      <c r="X68" s="207"/>
      <c r="Y68" s="222"/>
      <c r="Z68" s="225">
        <f t="shared" si="43"/>
        <v>2.6938938406279034E-2</v>
      </c>
      <c r="AA68" s="225">
        <f t="shared" si="44"/>
        <v>1.2536304164777512</v>
      </c>
      <c r="AB68" s="225">
        <f t="shared" si="45"/>
        <v>-7.8485247371658073E-2</v>
      </c>
      <c r="AC68" s="225">
        <f t="shared" si="46"/>
        <v>-0.60512116770108848</v>
      </c>
      <c r="AD68" s="235">
        <v>-9.0000000000000011E-2</v>
      </c>
      <c r="AE68" s="207"/>
      <c r="AG68" s="247"/>
      <c r="AI68" s="200"/>
      <c r="AJ68" s="209"/>
    </row>
    <row r="69" spans="1:40" ht="15" customHeight="1">
      <c r="B69" s="230">
        <f t="shared" si="47"/>
        <v>11</v>
      </c>
      <c r="C69" s="203" t="s">
        <v>322</v>
      </c>
      <c r="D69" s="249">
        <v>0.50056200000000006</v>
      </c>
      <c r="E69" s="249">
        <v>0.73899999999999999</v>
      </c>
      <c r="F69" s="249">
        <v>2.3039999999999998</v>
      </c>
      <c r="G69" s="249">
        <v>4.1479999999999997</v>
      </c>
      <c r="H69" s="249">
        <v>5.0839999999999996</v>
      </c>
      <c r="I69" s="226">
        <f t="shared" si="36"/>
        <v>5.6432400000000005</v>
      </c>
      <c r="J69" s="200"/>
      <c r="K69" s="249">
        <v>0.13264893</v>
      </c>
      <c r="L69" s="249">
        <v>0.193</v>
      </c>
      <c r="M69" s="249">
        <v>0.56200000000000006</v>
      </c>
      <c r="N69" s="249">
        <v>1.1080000000000001</v>
      </c>
      <c r="O69" s="249">
        <v>1.351</v>
      </c>
      <c r="P69" s="226">
        <f t="shared" si="37"/>
        <v>1.5130219868885528</v>
      </c>
      <c r="R69" s="225">
        <f t="shared" si="38"/>
        <v>0.26499999999999996</v>
      </c>
      <c r="S69" s="225">
        <f t="shared" si="39"/>
        <v>0.26116373477672533</v>
      </c>
      <c r="T69" s="225">
        <f t="shared" si="40"/>
        <v>0.24392361111111116</v>
      </c>
      <c r="U69" s="225">
        <f t="shared" si="41"/>
        <v>0.26711668273866929</v>
      </c>
      <c r="V69" s="225">
        <f t="shared" si="42"/>
        <v>0.26573564122738003</v>
      </c>
      <c r="W69" s="235">
        <v>0.26811228777945872</v>
      </c>
      <c r="X69" s="207"/>
      <c r="Y69" s="222"/>
      <c r="Z69" s="225">
        <f t="shared" si="43"/>
        <v>0.47634059317327293</v>
      </c>
      <c r="AA69" s="225">
        <f t="shared" si="44"/>
        <v>2.1177266576454667</v>
      </c>
      <c r="AB69" s="225">
        <f t="shared" si="45"/>
        <v>0.80034722222222232</v>
      </c>
      <c r="AC69" s="225">
        <f t="shared" si="46"/>
        <v>0.22565091610414667</v>
      </c>
      <c r="AD69" s="235">
        <v>0.11</v>
      </c>
      <c r="AE69" s="207"/>
      <c r="AG69" s="247"/>
      <c r="AI69" s="200"/>
      <c r="AJ69" s="209"/>
    </row>
    <row r="70" spans="1:40" ht="15" customHeight="1">
      <c r="B70" s="230">
        <f t="shared" si="47"/>
        <v>12</v>
      </c>
      <c r="C70" s="203" t="s">
        <v>323</v>
      </c>
      <c r="D70" s="249">
        <v>8.9072249999999992E-2</v>
      </c>
      <c r="E70" s="249">
        <v>0.28499999999999998</v>
      </c>
      <c r="F70" s="249">
        <v>4.3124999999999997E-2</v>
      </c>
      <c r="G70" s="249">
        <v>0</v>
      </c>
      <c r="H70" s="249">
        <v>0.15060999999999999</v>
      </c>
      <c r="I70" s="226">
        <f t="shared" si="36"/>
        <v>0.19729910000000001</v>
      </c>
      <c r="J70" s="200"/>
      <c r="K70" s="249">
        <v>2.4940230000000001E-2</v>
      </c>
      <c r="L70" s="249">
        <v>7.980000000000001E-2</v>
      </c>
      <c r="M70" s="249">
        <v>1.2075000000000001E-2</v>
      </c>
      <c r="N70" s="249">
        <v>0</v>
      </c>
      <c r="O70" s="249">
        <v>4.5719999999999997E-2</v>
      </c>
      <c r="P70" s="226">
        <f t="shared" si="37"/>
        <v>3.1239516282550138E-2</v>
      </c>
      <c r="R70" s="225">
        <f t="shared" si="38"/>
        <v>0.28000000000000003</v>
      </c>
      <c r="S70" s="225">
        <f t="shared" si="39"/>
        <v>0.28000000000000008</v>
      </c>
      <c r="T70" s="225">
        <f t="shared" si="40"/>
        <v>0.28000000000000003</v>
      </c>
      <c r="U70" s="225" t="str">
        <f t="shared" si="41"/>
        <v>--</v>
      </c>
      <c r="V70" s="225">
        <f t="shared" si="42"/>
        <v>0.30356550029878493</v>
      </c>
      <c r="W70" s="235">
        <v>0.15833582759652801</v>
      </c>
      <c r="X70" s="207"/>
      <c r="Y70" s="222"/>
      <c r="Z70" s="225">
        <f t="shared" si="43"/>
        <v>2.1996497225566887</v>
      </c>
      <c r="AA70" s="225">
        <f t="shared" si="44"/>
        <v>-0.84868421052631582</v>
      </c>
      <c r="AB70" s="225">
        <f t="shared" si="45"/>
        <v>-1</v>
      </c>
      <c r="AC70" s="225" t="str">
        <f t="shared" si="46"/>
        <v>--</v>
      </c>
      <c r="AD70" s="235">
        <v>0.31</v>
      </c>
      <c r="AE70" s="207"/>
      <c r="AG70" s="247"/>
      <c r="AI70" s="200"/>
      <c r="AJ70" s="209"/>
    </row>
    <row r="71" spans="1:40" ht="15" customHeight="1">
      <c r="B71" s="230">
        <f t="shared" si="47"/>
        <v>13</v>
      </c>
      <c r="C71" s="203" t="s">
        <v>324</v>
      </c>
      <c r="D71" s="249">
        <v>6.1335000000000009E-3</v>
      </c>
      <c r="E71" s="249">
        <v>0</v>
      </c>
      <c r="F71" s="249">
        <v>0</v>
      </c>
      <c r="G71" s="249">
        <v>0</v>
      </c>
      <c r="H71" s="249">
        <v>0</v>
      </c>
      <c r="I71" s="226">
        <f t="shared" si="36"/>
        <v>0</v>
      </c>
      <c r="J71" s="200"/>
      <c r="K71" s="249">
        <v>9.200250000000001E-4</v>
      </c>
      <c r="L71" s="249">
        <v>0</v>
      </c>
      <c r="M71" s="249">
        <v>0</v>
      </c>
      <c r="N71" s="249">
        <v>0</v>
      </c>
      <c r="O71" s="249">
        <v>0</v>
      </c>
      <c r="P71" s="256"/>
      <c r="R71" s="225">
        <f t="shared" si="38"/>
        <v>0.15</v>
      </c>
      <c r="S71" s="225" t="str">
        <f t="shared" si="39"/>
        <v>--</v>
      </c>
      <c r="T71" s="225" t="str">
        <f t="shared" si="40"/>
        <v>--</v>
      </c>
      <c r="U71" s="225" t="str">
        <f t="shared" si="41"/>
        <v>--</v>
      </c>
      <c r="V71" s="225" t="str">
        <f t="shared" si="42"/>
        <v>--</v>
      </c>
      <c r="W71" s="235" t="s">
        <v>252</v>
      </c>
      <c r="X71" s="207"/>
      <c r="Y71" s="222"/>
      <c r="Z71" s="225">
        <f t="shared" si="43"/>
        <v>-1</v>
      </c>
      <c r="AA71" s="225" t="str">
        <f t="shared" si="44"/>
        <v>--</v>
      </c>
      <c r="AB71" s="225" t="str">
        <f t="shared" si="45"/>
        <v>--</v>
      </c>
      <c r="AC71" s="225" t="str">
        <f t="shared" si="46"/>
        <v>--</v>
      </c>
      <c r="AD71" s="235" t="s">
        <v>252</v>
      </c>
      <c r="AE71" s="207"/>
      <c r="AG71" s="229"/>
      <c r="AI71" s="200"/>
      <c r="AJ71" s="209"/>
    </row>
    <row r="72" spans="1:40" ht="15" customHeight="1">
      <c r="B72" s="230">
        <f t="shared" si="47"/>
        <v>14</v>
      </c>
      <c r="C72" s="203" t="s">
        <v>325</v>
      </c>
      <c r="D72" s="249">
        <v>0.33737325000000001</v>
      </c>
      <c r="E72" s="249">
        <v>0.2472</v>
      </c>
      <c r="F72" s="249">
        <v>0.28230749999999999</v>
      </c>
      <c r="G72" s="249">
        <v>0.24742500000000001</v>
      </c>
      <c r="H72" s="249">
        <v>0.58926000000000001</v>
      </c>
      <c r="I72" s="226">
        <f t="shared" si="36"/>
        <v>0.65407860000000007</v>
      </c>
      <c r="J72" s="200"/>
      <c r="K72" s="249">
        <v>8.7717044999999993E-2</v>
      </c>
      <c r="L72" s="249">
        <v>6.427200000000001E-2</v>
      </c>
      <c r="M72" s="249">
        <v>5.0815350000000002E-2</v>
      </c>
      <c r="N72" s="249">
        <v>5.690775E-2</v>
      </c>
      <c r="O72" s="249">
        <v>0.17757999999999999</v>
      </c>
      <c r="P72" s="226">
        <f>IFERROR(I72*(W72),0)</f>
        <v>0.19109746681073572</v>
      </c>
      <c r="R72" s="225">
        <f t="shared" si="38"/>
        <v>0.25999999999999995</v>
      </c>
      <c r="S72" s="225">
        <f t="shared" si="39"/>
        <v>0.26</v>
      </c>
      <c r="T72" s="225">
        <f t="shared" si="40"/>
        <v>0.18000000000000002</v>
      </c>
      <c r="U72" s="225">
        <f t="shared" si="41"/>
        <v>0.22999999999999998</v>
      </c>
      <c r="V72" s="225">
        <f t="shared" si="42"/>
        <v>0.30136102908732987</v>
      </c>
      <c r="W72" s="235">
        <v>0.29216284833464312</v>
      </c>
      <c r="X72" s="207"/>
      <c r="Y72" s="222"/>
      <c r="Z72" s="225">
        <f t="shared" si="43"/>
        <v>-0.26728037863108589</v>
      </c>
      <c r="AA72" s="225">
        <f t="shared" si="44"/>
        <v>0.14202063106796103</v>
      </c>
      <c r="AB72" s="225">
        <f t="shared" si="45"/>
        <v>-0.12356207327116697</v>
      </c>
      <c r="AC72" s="225">
        <f t="shared" si="46"/>
        <v>1.3815701727796301</v>
      </c>
      <c r="AD72" s="235">
        <v>0.11</v>
      </c>
      <c r="AE72" s="207"/>
      <c r="AG72" s="247"/>
      <c r="AI72" s="200"/>
      <c r="AJ72" s="209"/>
    </row>
    <row r="73" spans="1:40" ht="15" customHeight="1">
      <c r="B73" s="230">
        <f t="shared" si="47"/>
        <v>15</v>
      </c>
      <c r="C73" s="203" t="s">
        <v>326</v>
      </c>
      <c r="D73" s="248">
        <v>0</v>
      </c>
      <c r="E73" s="248">
        <v>0</v>
      </c>
      <c r="F73" s="248">
        <v>5.3999999999999999E-2</v>
      </c>
      <c r="G73" s="248">
        <v>0.29899999999999999</v>
      </c>
      <c r="H73" s="248">
        <v>0.44400000000000001</v>
      </c>
      <c r="I73" s="226">
        <f t="shared" si="36"/>
        <v>0.51503999999999994</v>
      </c>
      <c r="J73" s="200"/>
      <c r="K73" s="248">
        <v>0</v>
      </c>
      <c r="L73" s="248">
        <v>0</v>
      </c>
      <c r="M73" s="248">
        <v>1.4E-2</v>
      </c>
      <c r="N73" s="248">
        <v>7.4999999999999997E-2</v>
      </c>
      <c r="O73" s="248">
        <v>0.16</v>
      </c>
      <c r="P73" s="226">
        <f>IFERROR(I73*(W73),0)</f>
        <v>0.18419833333333333</v>
      </c>
      <c r="R73" s="225" t="str">
        <f t="shared" si="38"/>
        <v>--</v>
      </c>
      <c r="S73" s="225" t="str">
        <f t="shared" si="39"/>
        <v>--</v>
      </c>
      <c r="T73" s="225">
        <f t="shared" si="40"/>
        <v>0.25925925925925924</v>
      </c>
      <c r="U73" s="225">
        <f t="shared" si="41"/>
        <v>0.25083612040133779</v>
      </c>
      <c r="V73" s="225">
        <f t="shared" si="42"/>
        <v>0.36036036036036034</v>
      </c>
      <c r="W73" s="235">
        <v>0.3576388888888889</v>
      </c>
      <c r="X73" s="207"/>
      <c r="Y73" s="222"/>
      <c r="Z73" s="225" t="str">
        <f t="shared" si="43"/>
        <v>--</v>
      </c>
      <c r="AA73" s="225" t="str">
        <f t="shared" si="44"/>
        <v>--</v>
      </c>
      <c r="AB73" s="225">
        <f t="shared" si="45"/>
        <v>4.5370370370370372</v>
      </c>
      <c r="AC73" s="225">
        <f t="shared" si="46"/>
        <v>0.48494983277591985</v>
      </c>
      <c r="AD73" s="235">
        <v>0.16</v>
      </c>
      <c r="AE73" s="207"/>
      <c r="AG73" s="247"/>
      <c r="AI73" s="200"/>
      <c r="AJ73" s="209"/>
    </row>
    <row r="74" spans="1:40" s="188" customFormat="1" ht="15" customHeight="1">
      <c r="B74" s="221"/>
      <c r="C74" s="221" t="s">
        <v>373</v>
      </c>
      <c r="D74" s="219">
        <f t="shared" ref="D74:I74" si="48">SUM(D59:D73)</f>
        <v>102.044398</v>
      </c>
      <c r="E74" s="219">
        <f t="shared" si="48"/>
        <v>135.56815</v>
      </c>
      <c r="F74" s="219">
        <f t="shared" si="48"/>
        <v>224.51887249999999</v>
      </c>
      <c r="G74" s="219">
        <f t="shared" si="48"/>
        <v>255.26094200000003</v>
      </c>
      <c r="H74" s="219">
        <f t="shared" si="48"/>
        <v>255.091917</v>
      </c>
      <c r="I74" s="219">
        <f t="shared" si="48"/>
        <v>254.81135147000001</v>
      </c>
      <c r="J74" s="200"/>
      <c r="K74" s="219">
        <f t="shared" ref="K74:P74" si="49">SUM(K59:K73)</f>
        <v>15.79339349</v>
      </c>
      <c r="L74" s="219">
        <f t="shared" si="49"/>
        <v>20.397732749999999</v>
      </c>
      <c r="M74" s="219">
        <f t="shared" si="49"/>
        <v>28.016814399999998</v>
      </c>
      <c r="N74" s="219">
        <f t="shared" si="49"/>
        <v>36.324557499999997</v>
      </c>
      <c r="O74" s="219">
        <f t="shared" si="49"/>
        <v>39.686919999999986</v>
      </c>
      <c r="P74" s="219">
        <f t="shared" si="49"/>
        <v>41.253911400157747</v>
      </c>
      <c r="Q74" s="186"/>
      <c r="R74" s="217">
        <f t="shared" si="38"/>
        <v>0.15476982371927953</v>
      </c>
      <c r="S74" s="217">
        <f t="shared" si="39"/>
        <v>0.15046109834795265</v>
      </c>
      <c r="T74" s="217">
        <f t="shared" si="40"/>
        <v>0.1247860105835869</v>
      </c>
      <c r="U74" s="217">
        <f t="shared" si="41"/>
        <v>0.14230362551901887</v>
      </c>
      <c r="V74" s="217">
        <f t="shared" si="42"/>
        <v>0.15557890060467885</v>
      </c>
      <c r="W74" s="217">
        <f>IFERROR(P74/I74,"--")</f>
        <v>0.1618998178933749</v>
      </c>
      <c r="X74" s="207"/>
      <c r="Y74" s="218"/>
      <c r="Z74" s="217">
        <f t="shared" si="43"/>
        <v>0.32852123837312464</v>
      </c>
      <c r="AA74" s="217">
        <f t="shared" si="44"/>
        <v>0.65613289330864211</v>
      </c>
      <c r="AB74" s="217">
        <f t="shared" si="45"/>
        <v>0.1369242111261717</v>
      </c>
      <c r="AC74" s="217">
        <f t="shared" si="46"/>
        <v>-6.6216554195763777E-4</v>
      </c>
      <c r="AD74" s="217">
        <f>IFERROR(I74/H74-1,"--")</f>
        <v>-1.099860525960894E-3</v>
      </c>
      <c r="AE74" s="207"/>
      <c r="AH74" s="216"/>
    </row>
    <row r="75" spans="1:40" s="212" customFormat="1" ht="15" customHeight="1">
      <c r="A75" s="205"/>
      <c r="B75" s="205"/>
      <c r="C75" s="205" t="s">
        <v>304</v>
      </c>
      <c r="D75" s="215"/>
      <c r="E75" s="213">
        <f>E74/D74-1</f>
        <v>0.32852123837312464</v>
      </c>
      <c r="F75" s="213">
        <f>F74/E74-1</f>
        <v>0.65613289330864211</v>
      </c>
      <c r="G75" s="213">
        <f>G74/F74-1</f>
        <v>0.1369242111261717</v>
      </c>
      <c r="H75" s="213">
        <f>H74/G74-1</f>
        <v>-6.6216554195763777E-4</v>
      </c>
      <c r="I75" s="213">
        <f>I74/H74-1</f>
        <v>-1.099860525960894E-3</v>
      </c>
      <c r="J75" s="207"/>
      <c r="K75" s="215"/>
      <c r="L75" s="213">
        <f>L74/K74-1</f>
        <v>0.29153577810337961</v>
      </c>
      <c r="M75" s="213">
        <f>M74/L74-1</f>
        <v>0.37352590816741627</v>
      </c>
      <c r="N75" s="213">
        <f>N74/M74-1</f>
        <v>0.29652704198947055</v>
      </c>
      <c r="O75" s="213">
        <f>O74/N74-1</f>
        <v>9.2564444866258588E-2</v>
      </c>
      <c r="P75" s="213">
        <f>P74/O74-1</f>
        <v>3.948382490144775E-2</v>
      </c>
      <c r="Q75" s="207"/>
      <c r="R75" s="214"/>
      <c r="S75" s="213"/>
      <c r="T75" s="213"/>
      <c r="U75" s="213"/>
      <c r="V75" s="213"/>
      <c r="W75" s="213"/>
      <c r="X75" s="207"/>
      <c r="Y75" s="222"/>
      <c r="Z75" s="225"/>
      <c r="AA75" s="225"/>
      <c r="AB75" s="225"/>
      <c r="AC75" s="225"/>
      <c r="AD75" s="225"/>
      <c r="AE75" s="207"/>
      <c r="AH75" s="193"/>
    </row>
    <row r="76" spans="1:40" s="189" customFormat="1" ht="5.25" customHeight="1">
      <c r="A76" s="196"/>
      <c r="B76" s="196"/>
      <c r="C76" s="196"/>
      <c r="D76" s="223"/>
      <c r="E76" s="213"/>
      <c r="F76" s="213"/>
      <c r="G76" s="213"/>
      <c r="H76" s="213"/>
      <c r="I76" s="213"/>
      <c r="J76" s="186"/>
      <c r="K76" s="223"/>
      <c r="L76" s="213"/>
      <c r="M76" s="213"/>
      <c r="N76" s="213"/>
      <c r="O76" s="213"/>
      <c r="P76" s="213"/>
      <c r="Q76" s="186"/>
      <c r="R76" s="214"/>
      <c r="S76" s="213"/>
      <c r="T76" s="213"/>
      <c r="U76" s="213"/>
      <c r="V76" s="213"/>
      <c r="W76" s="213"/>
      <c r="X76" s="207"/>
      <c r="Y76" s="222"/>
      <c r="Z76" s="225"/>
      <c r="AA76" s="225"/>
      <c r="AB76" s="225"/>
      <c r="AC76" s="225"/>
      <c r="AD76" s="225"/>
      <c r="AE76" s="207"/>
      <c r="AH76" s="193"/>
      <c r="AJ76" s="209"/>
    </row>
    <row r="77" spans="1:40" s="189" customFormat="1" ht="15" customHeight="1">
      <c r="A77" s="196"/>
      <c r="B77" s="196"/>
      <c r="C77" s="186" t="s">
        <v>374</v>
      </c>
      <c r="D77" s="244">
        <f t="shared" ref="D77:I77" si="50">D80-D74</f>
        <v>50.588841680000002</v>
      </c>
      <c r="E77" s="244">
        <f t="shared" si="50"/>
        <v>60.458471369999984</v>
      </c>
      <c r="F77" s="244">
        <f t="shared" si="50"/>
        <v>74.595666719999997</v>
      </c>
      <c r="G77" s="244">
        <f t="shared" si="50"/>
        <v>84.178854149999864</v>
      </c>
      <c r="H77" s="244">
        <f t="shared" si="50"/>
        <v>85.566117420428526</v>
      </c>
      <c r="I77" s="244">
        <f t="shared" si="50"/>
        <v>94.978390336675687</v>
      </c>
      <c r="J77" s="200"/>
      <c r="K77" s="244">
        <f t="shared" ref="K77:P77" si="51">K80-K74</f>
        <v>9.0347093299999912</v>
      </c>
      <c r="L77" s="244">
        <f t="shared" si="51"/>
        <v>11.16849473000002</v>
      </c>
      <c r="M77" s="244">
        <f t="shared" si="51"/>
        <v>14.423627469999989</v>
      </c>
      <c r="N77" s="244">
        <f t="shared" si="51"/>
        <v>16.27599101999995</v>
      </c>
      <c r="O77" s="244">
        <f t="shared" si="51"/>
        <v>18.250369126930806</v>
      </c>
      <c r="P77" s="244">
        <f t="shared" si="51"/>
        <v>20.313666790862854</v>
      </c>
      <c r="Q77" s="186"/>
      <c r="R77" s="225">
        <f t="shared" ref="R77:W77" si="52">IFERROR(K77/D77,"--")</f>
        <v>0.17859095069124326</v>
      </c>
      <c r="S77" s="225">
        <f t="shared" si="52"/>
        <v>0.18473002173094843</v>
      </c>
      <c r="T77" s="225">
        <f t="shared" si="52"/>
        <v>0.19335744426201154</v>
      </c>
      <c r="U77" s="225">
        <f t="shared" si="52"/>
        <v>0.19335011368766625</v>
      </c>
      <c r="V77" s="225">
        <f t="shared" si="52"/>
        <v>0.21328967209365998</v>
      </c>
      <c r="W77" s="225">
        <f t="shared" si="52"/>
        <v>0.21387672205072925</v>
      </c>
      <c r="X77" s="207"/>
      <c r="Y77" s="222"/>
      <c r="Z77" s="225">
        <f>IFERROR(E77/D77-1,"--")</f>
        <v>0.19509499253670159</v>
      </c>
      <c r="AA77" s="225">
        <f>IFERROR(F77/E77-1,"--")</f>
        <v>0.23383315902054069</v>
      </c>
      <c r="AB77" s="225">
        <f>IFERROR(G77/F77-1,"--")</f>
        <v>0.12846841983423807</v>
      </c>
      <c r="AC77" s="225">
        <f>IFERROR(H77/G77-1,"--")</f>
        <v>1.6479949560214591E-2</v>
      </c>
      <c r="AD77" s="225">
        <f>IFERROR(I77/H77-1,"--")</f>
        <v>0.11000000000000032</v>
      </c>
      <c r="AE77" s="207"/>
      <c r="AH77" s="187"/>
      <c r="AI77" s="200"/>
      <c r="AJ77" s="209"/>
    </row>
    <row r="78" spans="1:40" s="212" customFormat="1" ht="15" customHeight="1">
      <c r="A78" s="205"/>
      <c r="B78" s="205"/>
      <c r="C78" s="212" t="s">
        <v>304</v>
      </c>
      <c r="D78" s="215"/>
      <c r="E78" s="224">
        <f>E77/D77-1</f>
        <v>0.19509499253670159</v>
      </c>
      <c r="F78" s="224">
        <f>F77/E77-1</f>
        <v>0.23383315902054069</v>
      </c>
      <c r="G78" s="224">
        <f>G77/F77-1</f>
        <v>0.12846841983423807</v>
      </c>
      <c r="H78" s="224">
        <f>H77/G77-1</f>
        <v>1.6479949560214591E-2</v>
      </c>
      <c r="I78" s="224">
        <f>I77/H77-1</f>
        <v>0.11000000000000032</v>
      </c>
      <c r="J78" s="207"/>
      <c r="K78" s="215"/>
      <c r="L78" s="224">
        <f>L77/K77-1</f>
        <v>0.2361764304818017</v>
      </c>
      <c r="M78" s="224">
        <f>M77/L77-1</f>
        <v>0.29145671092598202</v>
      </c>
      <c r="N78" s="224">
        <f>N77/M77-1</f>
        <v>0.12842563729912815</v>
      </c>
      <c r="O78" s="224">
        <f>O77/N77-1</f>
        <v>0.12130616836202113</v>
      </c>
      <c r="P78" s="224">
        <f>P77/O77-1</f>
        <v>0.11305511957494496</v>
      </c>
      <c r="Q78" s="207"/>
      <c r="R78" s="214"/>
      <c r="S78" s="213"/>
      <c r="T78" s="213"/>
      <c r="U78" s="213"/>
      <c r="V78" s="213"/>
      <c r="W78" s="213"/>
      <c r="X78" s="207"/>
      <c r="Y78" s="222"/>
      <c r="Z78" s="213"/>
      <c r="AA78" s="213"/>
      <c r="AB78" s="213"/>
      <c r="AC78" s="213"/>
      <c r="AD78" s="213"/>
      <c r="AE78" s="207"/>
      <c r="AH78" s="187"/>
      <c r="AI78" s="207"/>
      <c r="AJ78" s="207"/>
    </row>
    <row r="79" spans="1:40" s="189" customFormat="1" ht="5.25" customHeight="1">
      <c r="A79" s="196"/>
      <c r="B79" s="196"/>
      <c r="C79" s="196"/>
      <c r="D79" s="223"/>
      <c r="E79" s="213"/>
      <c r="F79" s="213"/>
      <c r="G79" s="213"/>
      <c r="H79" s="213"/>
      <c r="I79" s="213"/>
      <c r="J79" s="186"/>
      <c r="K79" s="223"/>
      <c r="L79" s="213"/>
      <c r="M79" s="213"/>
      <c r="N79" s="213"/>
      <c r="O79" s="213"/>
      <c r="P79" s="213"/>
      <c r="Q79" s="186"/>
      <c r="R79" s="214"/>
      <c r="S79" s="213"/>
      <c r="T79" s="213"/>
      <c r="U79" s="213"/>
      <c r="V79" s="213"/>
      <c r="W79" s="213"/>
      <c r="X79" s="207"/>
      <c r="Y79" s="222"/>
      <c r="Z79" s="213"/>
      <c r="AA79" s="213"/>
      <c r="AB79" s="213"/>
      <c r="AC79" s="213"/>
      <c r="AD79" s="213"/>
      <c r="AE79" s="207"/>
      <c r="AH79" s="193"/>
    </row>
    <row r="80" spans="1:40" ht="15" customHeight="1">
      <c r="B80" s="221"/>
      <c r="C80" s="221" t="s">
        <v>378</v>
      </c>
      <c r="D80" s="242">
        <v>152.63323968</v>
      </c>
      <c r="E80" s="242">
        <v>196.02662136999999</v>
      </c>
      <c r="F80" s="242">
        <v>299.11453921999998</v>
      </c>
      <c r="G80" s="242">
        <v>339.43979614999989</v>
      </c>
      <c r="H80" s="242">
        <v>340.65803442042852</v>
      </c>
      <c r="I80" s="242">
        <v>349.78974180667569</v>
      </c>
      <c r="J80" s="200"/>
      <c r="K80" s="242">
        <v>24.828102819999991</v>
      </c>
      <c r="L80" s="242">
        <v>31.56622748000002</v>
      </c>
      <c r="M80" s="242">
        <v>42.440441869999987</v>
      </c>
      <c r="N80" s="242">
        <v>52.600548519999947</v>
      </c>
      <c r="O80" s="242">
        <v>57.937289126930793</v>
      </c>
      <c r="P80" s="242">
        <v>61.567578191020601</v>
      </c>
      <c r="R80" s="217">
        <f t="shared" ref="R80:W80" si="53">IFERROR(K80/D80,"--")</f>
        <v>0.16266511064072822</v>
      </c>
      <c r="S80" s="217">
        <f t="shared" si="53"/>
        <v>0.16103030934976331</v>
      </c>
      <c r="T80" s="217">
        <f t="shared" si="53"/>
        <v>0.14188692392108987</v>
      </c>
      <c r="U80" s="217">
        <f t="shared" si="53"/>
        <v>0.15496282143875534</v>
      </c>
      <c r="V80" s="217">
        <f t="shared" si="53"/>
        <v>0.17007462990121808</v>
      </c>
      <c r="W80" s="217">
        <f t="shared" si="53"/>
        <v>0.17601310396646283</v>
      </c>
      <c r="X80" s="207"/>
      <c r="Y80" s="218"/>
      <c r="Z80" s="217">
        <f>IFERROR(E80/D80-1,"--")</f>
        <v>0.28429837289030524</v>
      </c>
      <c r="AA80" s="217">
        <f>IFERROR(F80/E80-1,"--")</f>
        <v>0.5258873367787209</v>
      </c>
      <c r="AB80" s="217">
        <f>IFERROR(G80/F80-1,"--")</f>
        <v>0.1348154357028446</v>
      </c>
      <c r="AC80" s="217">
        <f>IFERROR(H80/G80-1,"--")</f>
        <v>3.5889671283277913E-3</v>
      </c>
      <c r="AD80" s="217">
        <f>IFERROR(I80/H80-1,"--")</f>
        <v>2.6806082533127995E-2</v>
      </c>
      <c r="AE80" s="207"/>
      <c r="AH80" s="240"/>
    </row>
    <row r="81" spans="1:35" s="212" customFormat="1" ht="15" customHeight="1">
      <c r="A81" s="205"/>
      <c r="B81" s="205"/>
      <c r="C81" s="205" t="s">
        <v>304</v>
      </c>
      <c r="D81" s="215"/>
      <c r="E81" s="213">
        <f>E80/D80-1</f>
        <v>0.28429837289030524</v>
      </c>
      <c r="F81" s="213">
        <f>F80/E80-1</f>
        <v>0.5258873367787209</v>
      </c>
      <c r="G81" s="213">
        <f>G80/F80-1</f>
        <v>0.1348154357028446</v>
      </c>
      <c r="H81" s="213">
        <f>H80/G80-1</f>
        <v>3.5889671283277913E-3</v>
      </c>
      <c r="I81" s="213">
        <f>I80/H80-1</f>
        <v>2.6806082533127995E-2</v>
      </c>
      <c r="J81" s="207"/>
      <c r="K81" s="215"/>
      <c r="L81" s="213">
        <f>L80/K80-1</f>
        <v>0.2713910405821347</v>
      </c>
      <c r="M81" s="213">
        <f>M80/L80-1</f>
        <v>0.34448888125417376</v>
      </c>
      <c r="N81" s="213">
        <f>N80/M80-1</f>
        <v>0.23939681592198192</v>
      </c>
      <c r="O81" s="213">
        <f>O80/N80-1</f>
        <v>0.10145788888307306</v>
      </c>
      <c r="P81" s="213">
        <f>P80/O80-1</f>
        <v>6.2658938980325152E-2</v>
      </c>
      <c r="Q81" s="207"/>
      <c r="X81" s="207"/>
      <c r="Y81" s="214"/>
      <c r="Z81" s="213"/>
      <c r="AA81" s="213"/>
      <c r="AB81" s="213"/>
      <c r="AC81" s="213"/>
      <c r="AD81" s="213"/>
      <c r="AE81" s="207"/>
      <c r="AH81" s="193"/>
    </row>
    <row r="82" spans="1:35">
      <c r="AG82" s="255"/>
      <c r="AI82" s="209"/>
    </row>
    <row r="83" spans="1:35" ht="20.25" customHeight="1">
      <c r="A83" s="230" t="s">
        <v>1</v>
      </c>
      <c r="B83" s="254" t="s">
        <v>369</v>
      </c>
      <c r="C83" s="254" t="s">
        <v>379</v>
      </c>
      <c r="D83" s="253" t="s">
        <v>189</v>
      </c>
      <c r="E83" s="252"/>
      <c r="F83" s="252"/>
      <c r="G83" s="252"/>
      <c r="H83" s="252"/>
      <c r="I83" s="252"/>
      <c r="K83" s="253" t="s">
        <v>73</v>
      </c>
      <c r="L83" s="252"/>
      <c r="M83" s="252"/>
      <c r="N83" s="252"/>
      <c r="O83" s="252"/>
      <c r="P83" s="252"/>
      <c r="R83" s="253" t="s">
        <v>371</v>
      </c>
      <c r="S83" s="252"/>
      <c r="T83" s="252"/>
      <c r="U83" s="252"/>
      <c r="V83" s="252"/>
      <c r="W83" s="252"/>
      <c r="Y83" s="253" t="s">
        <v>372</v>
      </c>
      <c r="Z83" s="252"/>
      <c r="AA83" s="252"/>
      <c r="AB83" s="252"/>
      <c r="AC83" s="252"/>
      <c r="AD83" s="252"/>
      <c r="AG83" s="251"/>
      <c r="AH83" s="240"/>
    </row>
    <row r="84" spans="1:35" ht="15" customHeight="1">
      <c r="A84" s="186"/>
      <c r="B84" s="230">
        <v>1</v>
      </c>
      <c r="C84" s="203" t="s">
        <v>312</v>
      </c>
      <c r="D84" s="248">
        <v>0</v>
      </c>
      <c r="E84" s="248">
        <v>0</v>
      </c>
      <c r="F84" s="248">
        <v>0</v>
      </c>
      <c r="G84" s="248">
        <v>0</v>
      </c>
      <c r="H84" s="248">
        <v>6.6599999999999993E-3</v>
      </c>
      <c r="I84" s="226">
        <f t="shared" ref="I84:I98" si="54">IFERROR(H84*(1+AD84),0)</f>
        <v>0</v>
      </c>
      <c r="J84" s="200"/>
      <c r="K84" s="248">
        <v>0</v>
      </c>
      <c r="L84" s="248">
        <v>0</v>
      </c>
      <c r="M84" s="248">
        <v>0</v>
      </c>
      <c r="N84" s="248">
        <v>0</v>
      </c>
      <c r="O84" s="248">
        <v>0</v>
      </c>
      <c r="P84" s="226">
        <f t="shared" ref="P84:P98" si="55">IFERROR(I84*W84,0)</f>
        <v>0</v>
      </c>
      <c r="R84" s="225" t="str">
        <f t="shared" ref="R84:R99" si="56">IFERROR(K84/D84,"--")</f>
        <v>--</v>
      </c>
      <c r="S84" s="225" t="str">
        <f t="shared" ref="S84:S99" si="57">IFERROR(L84/E84,"--")</f>
        <v>--</v>
      </c>
      <c r="T84" s="225" t="str">
        <f t="shared" ref="T84:T99" si="58">IFERROR(M84/F84,"--")</f>
        <v>--</v>
      </c>
      <c r="U84" s="225" t="str">
        <f t="shared" ref="U84:U99" si="59">IFERROR(N84/G84,"--")</f>
        <v>--</v>
      </c>
      <c r="V84" s="225">
        <f t="shared" ref="V84:V99" si="60">IFERROR(O84/H84,"--")</f>
        <v>0</v>
      </c>
      <c r="W84" s="235" t="s">
        <v>252</v>
      </c>
      <c r="Y84" s="243"/>
      <c r="Z84" s="225" t="str">
        <f t="shared" ref="Z84:Z99" si="61">IFERROR(E84/D84-1,"--")</f>
        <v>--</v>
      </c>
      <c r="AA84" s="225" t="str">
        <f t="shared" ref="AA84:AA99" si="62">IFERROR(F84/E84-1,"--")</f>
        <v>--</v>
      </c>
      <c r="AB84" s="225" t="str">
        <f t="shared" ref="AB84:AB99" si="63">IFERROR(G84/F84-1,"--")</f>
        <v>--</v>
      </c>
      <c r="AC84" s="225" t="str">
        <f t="shared" ref="AC84:AC99" si="64">IFERROR(H84/G84-1,"--")</f>
        <v>--</v>
      </c>
      <c r="AD84" s="235" t="s">
        <v>252</v>
      </c>
      <c r="AG84" s="229"/>
      <c r="AH84" s="250"/>
    </row>
    <row r="85" spans="1:35" ht="15" customHeight="1">
      <c r="A85" s="186"/>
      <c r="B85" s="230">
        <f t="shared" ref="B85:B98" si="65">B84+1</f>
        <v>2</v>
      </c>
      <c r="C85" s="203" t="s">
        <v>313</v>
      </c>
      <c r="D85" s="248">
        <v>0</v>
      </c>
      <c r="E85" s="248">
        <v>0</v>
      </c>
      <c r="F85" s="248">
        <v>0</v>
      </c>
      <c r="G85" s="248">
        <v>0</v>
      </c>
      <c r="H85" s="248">
        <v>0</v>
      </c>
      <c r="I85" s="226">
        <f t="shared" si="54"/>
        <v>0</v>
      </c>
      <c r="J85" s="200"/>
      <c r="K85" s="248">
        <v>0</v>
      </c>
      <c r="L85" s="248">
        <v>0</v>
      </c>
      <c r="M85" s="248">
        <v>0</v>
      </c>
      <c r="N85" s="248">
        <v>0</v>
      </c>
      <c r="O85" s="248">
        <v>0</v>
      </c>
      <c r="P85" s="226">
        <f t="shared" si="55"/>
        <v>0</v>
      </c>
      <c r="R85" s="225" t="str">
        <f t="shared" si="56"/>
        <v>--</v>
      </c>
      <c r="S85" s="225" t="str">
        <f t="shared" si="57"/>
        <v>--</v>
      </c>
      <c r="T85" s="225" t="str">
        <f t="shared" si="58"/>
        <v>--</v>
      </c>
      <c r="U85" s="225" t="str">
        <f t="shared" si="59"/>
        <v>--</v>
      </c>
      <c r="V85" s="225" t="str">
        <f t="shared" si="60"/>
        <v>--</v>
      </c>
      <c r="W85" s="235" t="s">
        <v>252</v>
      </c>
      <c r="Y85" s="243"/>
      <c r="Z85" s="225" t="str">
        <f t="shared" si="61"/>
        <v>--</v>
      </c>
      <c r="AA85" s="225" t="str">
        <f t="shared" si="62"/>
        <v>--</v>
      </c>
      <c r="AB85" s="225" t="str">
        <f t="shared" si="63"/>
        <v>--</v>
      </c>
      <c r="AC85" s="225" t="str">
        <f t="shared" si="64"/>
        <v>--</v>
      </c>
      <c r="AD85" s="235" t="s">
        <v>252</v>
      </c>
      <c r="AG85" s="229"/>
      <c r="AH85" s="250"/>
    </row>
    <row r="86" spans="1:35" ht="15" customHeight="1">
      <c r="A86" s="186"/>
      <c r="B86" s="230">
        <f t="shared" si="65"/>
        <v>3</v>
      </c>
      <c r="C86" s="203" t="s">
        <v>314</v>
      </c>
      <c r="D86" s="249">
        <v>0</v>
      </c>
      <c r="E86" s="249">
        <v>0</v>
      </c>
      <c r="F86" s="249">
        <v>0</v>
      </c>
      <c r="G86" s="249">
        <v>0</v>
      </c>
      <c r="H86" s="249">
        <v>0</v>
      </c>
      <c r="I86" s="226">
        <f t="shared" si="54"/>
        <v>0</v>
      </c>
      <c r="J86" s="200"/>
      <c r="K86" s="249">
        <v>0</v>
      </c>
      <c r="L86" s="249">
        <v>0</v>
      </c>
      <c r="M86" s="249">
        <v>0</v>
      </c>
      <c r="N86" s="249">
        <v>0</v>
      </c>
      <c r="O86" s="249">
        <v>0</v>
      </c>
      <c r="P86" s="226">
        <f t="shared" si="55"/>
        <v>0</v>
      </c>
      <c r="R86" s="225" t="str">
        <f t="shared" si="56"/>
        <v>--</v>
      </c>
      <c r="S86" s="225" t="str">
        <f t="shared" si="57"/>
        <v>--</v>
      </c>
      <c r="T86" s="225" t="str">
        <f t="shared" si="58"/>
        <v>--</v>
      </c>
      <c r="U86" s="225" t="str">
        <f t="shared" si="59"/>
        <v>--</v>
      </c>
      <c r="V86" s="225" t="str">
        <f t="shared" si="60"/>
        <v>--</v>
      </c>
      <c r="W86" s="235" t="s">
        <v>252</v>
      </c>
      <c r="Y86" s="243"/>
      <c r="Z86" s="225" t="str">
        <f t="shared" si="61"/>
        <v>--</v>
      </c>
      <c r="AA86" s="225" t="str">
        <f t="shared" si="62"/>
        <v>--</v>
      </c>
      <c r="AB86" s="225" t="str">
        <f t="shared" si="63"/>
        <v>--</v>
      </c>
      <c r="AC86" s="225" t="str">
        <f t="shared" si="64"/>
        <v>--</v>
      </c>
      <c r="AD86" s="235" t="s">
        <v>252</v>
      </c>
      <c r="AG86" s="229"/>
    </row>
    <row r="87" spans="1:35" ht="15" customHeight="1">
      <c r="A87" s="186"/>
      <c r="B87" s="230">
        <f t="shared" si="65"/>
        <v>4</v>
      </c>
      <c r="C87" s="203" t="s">
        <v>315</v>
      </c>
      <c r="D87" s="249">
        <v>1.625</v>
      </c>
      <c r="E87" s="249">
        <v>1.5660000000000001</v>
      </c>
      <c r="F87" s="249">
        <v>1.349</v>
      </c>
      <c r="G87" s="249">
        <v>1.169</v>
      </c>
      <c r="H87" s="249">
        <v>0.86187099999999994</v>
      </c>
      <c r="I87" s="226">
        <f t="shared" si="54"/>
        <v>0.82739615999999994</v>
      </c>
      <c r="J87" s="200"/>
      <c r="K87" s="249">
        <v>0.82874999999999999</v>
      </c>
      <c r="L87" s="249">
        <v>0.78300000000000003</v>
      </c>
      <c r="M87" s="249">
        <v>0.67500000000000004</v>
      </c>
      <c r="N87" s="249">
        <v>0.58399999999999996</v>
      </c>
      <c r="O87" s="249">
        <v>0.30165484999999997</v>
      </c>
      <c r="P87" s="226">
        <f t="shared" si="55"/>
        <v>0.28958865599999994</v>
      </c>
      <c r="R87" s="225">
        <f t="shared" si="56"/>
        <v>0.51</v>
      </c>
      <c r="S87" s="225">
        <f t="shared" si="57"/>
        <v>0.5</v>
      </c>
      <c r="T87" s="225">
        <f t="shared" si="58"/>
        <v>0.50037064492216465</v>
      </c>
      <c r="U87" s="225">
        <f t="shared" si="59"/>
        <v>0.49957228400342168</v>
      </c>
      <c r="V87" s="225">
        <f t="shared" si="60"/>
        <v>0.35</v>
      </c>
      <c r="W87" s="235">
        <v>0.35</v>
      </c>
      <c r="Y87" s="243"/>
      <c r="Z87" s="225">
        <f t="shared" si="61"/>
        <v>-3.6307692307692263E-2</v>
      </c>
      <c r="AA87" s="225">
        <f t="shared" si="62"/>
        <v>-0.13856960408684549</v>
      </c>
      <c r="AB87" s="225">
        <f t="shared" si="63"/>
        <v>-0.13343217197924384</v>
      </c>
      <c r="AC87" s="225">
        <f t="shared" si="64"/>
        <v>-0.26272797262617631</v>
      </c>
      <c r="AD87" s="235">
        <v>-0.04</v>
      </c>
      <c r="AG87" s="247"/>
    </row>
    <row r="88" spans="1:35" ht="15" customHeight="1">
      <c r="A88" s="186"/>
      <c r="B88" s="230">
        <f t="shared" si="65"/>
        <v>5</v>
      </c>
      <c r="C88" s="203" t="s">
        <v>316</v>
      </c>
      <c r="D88" s="249">
        <v>21.435354</v>
      </c>
      <c r="E88" s="249">
        <v>20.103999999999999</v>
      </c>
      <c r="F88" s="249">
        <v>16.501999999999999</v>
      </c>
      <c r="G88" s="249">
        <v>18.791</v>
      </c>
      <c r="H88" s="249">
        <v>22.515999999999998</v>
      </c>
      <c r="I88" s="226">
        <f t="shared" si="54"/>
        <v>22.741159999999997</v>
      </c>
      <c r="J88" s="200"/>
      <c r="K88" s="249">
        <v>12.041</v>
      </c>
      <c r="L88" s="249">
        <v>8.8780000000000001</v>
      </c>
      <c r="M88" s="249">
        <v>7.758</v>
      </c>
      <c r="N88" s="249">
        <v>9.4120000000000008</v>
      </c>
      <c r="O88" s="249">
        <v>12.582000000000001</v>
      </c>
      <c r="P88" s="226">
        <f t="shared" si="55"/>
        <v>12.507638</v>
      </c>
      <c r="R88" s="225">
        <f t="shared" si="56"/>
        <v>0.56173553280249067</v>
      </c>
      <c r="S88" s="225">
        <f t="shared" si="57"/>
        <v>0.44160366096299247</v>
      </c>
      <c r="T88" s="225">
        <f t="shared" si="58"/>
        <v>0.47012483335353294</v>
      </c>
      <c r="U88" s="225">
        <f t="shared" si="59"/>
        <v>0.50087807993188227</v>
      </c>
      <c r="V88" s="225">
        <f t="shared" si="60"/>
        <v>0.55880262924142843</v>
      </c>
      <c r="W88" s="235">
        <v>0.55000000000000004</v>
      </c>
      <c r="Y88" s="243"/>
      <c r="Z88" s="225">
        <f t="shared" si="61"/>
        <v>-6.2110194214660575E-2</v>
      </c>
      <c r="AA88" s="225">
        <f t="shared" si="62"/>
        <v>-0.17916832471150024</v>
      </c>
      <c r="AB88" s="225">
        <f t="shared" si="63"/>
        <v>0.1387104593382622</v>
      </c>
      <c r="AC88" s="225">
        <f t="shared" si="64"/>
        <v>0.19823319674312168</v>
      </c>
      <c r="AD88" s="235">
        <v>0.01</v>
      </c>
      <c r="AG88" s="247"/>
    </row>
    <row r="89" spans="1:35" ht="15" customHeight="1">
      <c r="A89" s="186"/>
      <c r="B89" s="230">
        <f t="shared" si="65"/>
        <v>6</v>
      </c>
      <c r="C89" s="203" t="s">
        <v>317</v>
      </c>
      <c r="D89" s="249">
        <v>0</v>
      </c>
      <c r="E89" s="249">
        <v>0</v>
      </c>
      <c r="F89" s="249">
        <v>0</v>
      </c>
      <c r="G89" s="249">
        <v>0</v>
      </c>
      <c r="H89" s="249">
        <v>0</v>
      </c>
      <c r="I89" s="226">
        <f t="shared" si="54"/>
        <v>0</v>
      </c>
      <c r="J89" s="200"/>
      <c r="K89" s="249">
        <v>0</v>
      </c>
      <c r="L89" s="249">
        <v>0</v>
      </c>
      <c r="M89" s="249">
        <v>0</v>
      </c>
      <c r="N89" s="249">
        <v>0</v>
      </c>
      <c r="O89" s="249">
        <v>0</v>
      </c>
      <c r="P89" s="226">
        <f t="shared" si="55"/>
        <v>0</v>
      </c>
      <c r="R89" s="225" t="str">
        <f t="shared" si="56"/>
        <v>--</v>
      </c>
      <c r="S89" s="225" t="str">
        <f t="shared" si="57"/>
        <v>--</v>
      </c>
      <c r="T89" s="225" t="str">
        <f t="shared" si="58"/>
        <v>--</v>
      </c>
      <c r="U89" s="225" t="str">
        <f t="shared" si="59"/>
        <v>--</v>
      </c>
      <c r="V89" s="225" t="str">
        <f t="shared" si="60"/>
        <v>--</v>
      </c>
      <c r="W89" s="235" t="s">
        <v>252</v>
      </c>
      <c r="Y89" s="243"/>
      <c r="Z89" s="225" t="str">
        <f t="shared" si="61"/>
        <v>--</v>
      </c>
      <c r="AA89" s="225" t="str">
        <f t="shared" si="62"/>
        <v>--</v>
      </c>
      <c r="AB89" s="225" t="str">
        <f t="shared" si="63"/>
        <v>--</v>
      </c>
      <c r="AC89" s="225" t="str">
        <f t="shared" si="64"/>
        <v>--</v>
      </c>
      <c r="AD89" s="235" t="s">
        <v>252</v>
      </c>
      <c r="AG89" s="229"/>
    </row>
    <row r="90" spans="1:35" ht="15" customHeight="1">
      <c r="A90" s="186"/>
      <c r="B90" s="230">
        <f t="shared" si="65"/>
        <v>7</v>
      </c>
      <c r="C90" s="203" t="s">
        <v>318</v>
      </c>
      <c r="D90" s="249">
        <v>0.50049999999999994</v>
      </c>
      <c r="E90" s="249">
        <v>0.48</v>
      </c>
      <c r="F90" s="249">
        <v>0.48</v>
      </c>
      <c r="G90" s="249">
        <v>0.48</v>
      </c>
      <c r="H90" s="249">
        <v>0.48</v>
      </c>
      <c r="I90" s="226">
        <f t="shared" si="54"/>
        <v>0.48480000000000001</v>
      </c>
      <c r="J90" s="200"/>
      <c r="K90" s="249">
        <v>0.2863</v>
      </c>
      <c r="L90" s="249">
        <v>0.316</v>
      </c>
      <c r="M90" s="249">
        <v>0.38100000000000001</v>
      </c>
      <c r="N90" s="249">
        <v>0.379</v>
      </c>
      <c r="O90" s="249">
        <v>0.379</v>
      </c>
      <c r="P90" s="226">
        <f t="shared" si="55"/>
        <v>0.382992</v>
      </c>
      <c r="R90" s="225">
        <f t="shared" si="56"/>
        <v>0.57202797202797206</v>
      </c>
      <c r="S90" s="225">
        <f t="shared" si="57"/>
        <v>0.65833333333333333</v>
      </c>
      <c r="T90" s="225">
        <f t="shared" si="58"/>
        <v>0.79375000000000007</v>
      </c>
      <c r="U90" s="225">
        <f t="shared" si="59"/>
        <v>0.78958333333333341</v>
      </c>
      <c r="V90" s="225">
        <f t="shared" si="60"/>
        <v>0.78958333333333341</v>
      </c>
      <c r="W90" s="235">
        <v>0.79</v>
      </c>
      <c r="Y90" s="243"/>
      <c r="Z90" s="225">
        <f t="shared" si="61"/>
        <v>-4.0959040959040904E-2</v>
      </c>
      <c r="AA90" s="225">
        <f t="shared" si="62"/>
        <v>0</v>
      </c>
      <c r="AB90" s="225">
        <f t="shared" si="63"/>
        <v>0</v>
      </c>
      <c r="AC90" s="225">
        <f t="shared" si="64"/>
        <v>0</v>
      </c>
      <c r="AD90" s="235">
        <v>0.01</v>
      </c>
      <c r="AG90" s="247"/>
    </row>
    <row r="91" spans="1:35" ht="15" customHeight="1">
      <c r="A91" s="186"/>
      <c r="B91" s="230">
        <f t="shared" si="65"/>
        <v>8</v>
      </c>
      <c r="C91" s="203" t="s">
        <v>319</v>
      </c>
      <c r="D91" s="248">
        <v>12.51</v>
      </c>
      <c r="E91" s="248">
        <v>20.614999999999998</v>
      </c>
      <c r="F91" s="248">
        <v>21.215</v>
      </c>
      <c r="G91" s="248">
        <v>21.579000000000001</v>
      </c>
      <c r="H91" s="248">
        <v>24.61376714</v>
      </c>
      <c r="I91" s="226">
        <f t="shared" si="54"/>
        <v>25.598317825600002</v>
      </c>
      <c r="J91" s="200"/>
      <c r="K91" s="248">
        <v>5.66</v>
      </c>
      <c r="L91" s="248">
        <v>10.311</v>
      </c>
      <c r="M91" s="248">
        <v>9.0060000000000002</v>
      </c>
      <c r="N91" s="248">
        <v>8.6980000000000004</v>
      </c>
      <c r="O91" s="248">
        <v>9.0332525403800012</v>
      </c>
      <c r="P91" s="226">
        <f t="shared" si="55"/>
        <v>8.9594112389599996</v>
      </c>
      <c r="R91" s="225">
        <f t="shared" si="56"/>
        <v>0.45243804956035172</v>
      </c>
      <c r="S91" s="225">
        <f t="shared" si="57"/>
        <v>0.50016977928692707</v>
      </c>
      <c r="T91" s="225">
        <f t="shared" si="58"/>
        <v>0.42451095922696208</v>
      </c>
      <c r="U91" s="225">
        <f t="shared" si="59"/>
        <v>0.40307706566569351</v>
      </c>
      <c r="V91" s="225">
        <f t="shared" si="60"/>
        <v>0.36700000000000005</v>
      </c>
      <c r="W91" s="235">
        <v>0.35</v>
      </c>
      <c r="Y91" s="243"/>
      <c r="Z91" s="225">
        <f t="shared" si="61"/>
        <v>0.64788169464428447</v>
      </c>
      <c r="AA91" s="225">
        <f t="shared" si="62"/>
        <v>2.9105020616056354E-2</v>
      </c>
      <c r="AB91" s="225">
        <f t="shared" si="63"/>
        <v>1.715767145887348E-2</v>
      </c>
      <c r="AC91" s="225">
        <f t="shared" si="64"/>
        <v>0.14063520737754298</v>
      </c>
      <c r="AD91" s="235">
        <v>0.04</v>
      </c>
      <c r="AG91" s="247"/>
    </row>
    <row r="92" spans="1:35" ht="15" customHeight="1">
      <c r="A92" s="186"/>
      <c r="B92" s="230">
        <f t="shared" si="65"/>
        <v>9</v>
      </c>
      <c r="C92" s="203" t="s">
        <v>320</v>
      </c>
      <c r="D92" s="249">
        <v>3.22594</v>
      </c>
      <c r="E92" s="249">
        <v>2.7010000000000001</v>
      </c>
      <c r="F92" s="249">
        <v>1.768</v>
      </c>
      <c r="G92" s="249">
        <v>1.5269999999999999</v>
      </c>
      <c r="H92" s="249">
        <v>1.4339999999999999</v>
      </c>
      <c r="I92" s="226">
        <f t="shared" si="54"/>
        <v>1.3766399999999999</v>
      </c>
      <c r="J92" s="200"/>
      <c r="K92" s="249">
        <v>1.290376</v>
      </c>
      <c r="L92" s="249">
        <v>0.877</v>
      </c>
      <c r="M92" s="249">
        <v>0.56100000000000005</v>
      </c>
      <c r="N92" s="249">
        <v>0.47299999999999998</v>
      </c>
      <c r="O92" s="249">
        <v>0.434</v>
      </c>
      <c r="P92" s="226">
        <f t="shared" si="55"/>
        <v>0.41299199999999997</v>
      </c>
      <c r="R92" s="225">
        <f t="shared" si="56"/>
        <v>0.39999999999999997</v>
      </c>
      <c r="S92" s="225">
        <f t="shared" si="57"/>
        <v>0.32469455757126992</v>
      </c>
      <c r="T92" s="225">
        <f t="shared" si="58"/>
        <v>0.31730769230769235</v>
      </c>
      <c r="U92" s="225">
        <f t="shared" si="59"/>
        <v>0.3097576948264571</v>
      </c>
      <c r="V92" s="225">
        <f t="shared" si="60"/>
        <v>0.30264993026499304</v>
      </c>
      <c r="W92" s="235">
        <v>0.3</v>
      </c>
      <c r="Y92" s="243"/>
      <c r="Z92" s="225">
        <f t="shared" si="61"/>
        <v>-0.16272466319894352</v>
      </c>
      <c r="AA92" s="225">
        <f t="shared" si="62"/>
        <v>-0.34542761940022215</v>
      </c>
      <c r="AB92" s="225">
        <f t="shared" si="63"/>
        <v>-0.13631221719457021</v>
      </c>
      <c r="AC92" s="225">
        <f t="shared" si="64"/>
        <v>-6.0903732809430289E-2</v>
      </c>
      <c r="AD92" s="235">
        <v>-0.04</v>
      </c>
      <c r="AG92" s="247"/>
    </row>
    <row r="93" spans="1:35" ht="15" customHeight="1">
      <c r="A93" s="186"/>
      <c r="B93" s="230">
        <f t="shared" si="65"/>
        <v>10</v>
      </c>
      <c r="C93" s="203" t="s">
        <v>321</v>
      </c>
      <c r="D93" s="249">
        <v>1.0831</v>
      </c>
      <c r="E93" s="249">
        <v>1.52146</v>
      </c>
      <c r="F93" s="249">
        <v>1.99231</v>
      </c>
      <c r="G93" s="249">
        <v>2.0102699999999998</v>
      </c>
      <c r="H93" s="249">
        <v>2.0091350000000001</v>
      </c>
      <c r="I93" s="226">
        <f t="shared" si="54"/>
        <v>2.0292263500000001</v>
      </c>
      <c r="J93" s="200"/>
      <c r="K93" s="249">
        <v>0.77983199999999986</v>
      </c>
      <c r="L93" s="249">
        <v>0.995</v>
      </c>
      <c r="M93" s="249">
        <v>1.0659000000000001</v>
      </c>
      <c r="N93" s="249">
        <v>1.0790999999999999</v>
      </c>
      <c r="O93" s="249">
        <v>1.0849329000000001</v>
      </c>
      <c r="P93" s="226">
        <f t="shared" si="55"/>
        <v>1.1160744925000001</v>
      </c>
      <c r="R93" s="225">
        <f t="shared" si="56"/>
        <v>0.71999999999999986</v>
      </c>
      <c r="S93" s="225">
        <f t="shared" si="57"/>
        <v>0.65397710094251571</v>
      </c>
      <c r="T93" s="225">
        <f t="shared" si="58"/>
        <v>0.53500710230837578</v>
      </c>
      <c r="U93" s="225">
        <f t="shared" si="59"/>
        <v>0.53679356504350162</v>
      </c>
      <c r="V93" s="225">
        <f t="shared" si="60"/>
        <v>0.54</v>
      </c>
      <c r="W93" s="235">
        <v>0.55000000000000004</v>
      </c>
      <c r="Y93" s="243"/>
      <c r="Z93" s="225">
        <f t="shared" si="61"/>
        <v>0.40472717200627839</v>
      </c>
      <c r="AA93" s="225">
        <f t="shared" si="62"/>
        <v>0.30947248038068698</v>
      </c>
      <c r="AB93" s="225">
        <f t="shared" si="63"/>
        <v>9.0146613729789049E-3</v>
      </c>
      <c r="AC93" s="225">
        <f t="shared" si="64"/>
        <v>-5.6460077502007433E-4</v>
      </c>
      <c r="AD93" s="235">
        <v>0.01</v>
      </c>
      <c r="AG93" s="247"/>
    </row>
    <row r="94" spans="1:35" ht="15" customHeight="1">
      <c r="A94" s="186"/>
      <c r="B94" s="230">
        <f t="shared" si="65"/>
        <v>11</v>
      </c>
      <c r="C94" s="203" t="s">
        <v>322</v>
      </c>
      <c r="D94" s="249">
        <v>1.552</v>
      </c>
      <c r="E94" s="249">
        <v>0.69</v>
      </c>
      <c r="F94" s="249">
        <v>0.53700000000000003</v>
      </c>
      <c r="G94" s="249">
        <v>0.57099999999999995</v>
      </c>
      <c r="H94" s="249">
        <v>0.48806499999999992</v>
      </c>
      <c r="I94" s="226">
        <f t="shared" si="54"/>
        <v>0.51734889999999989</v>
      </c>
      <c r="J94" s="200"/>
      <c r="K94" s="249">
        <v>0.61699999999999999</v>
      </c>
      <c r="L94" s="249">
        <v>0.215</v>
      </c>
      <c r="M94" s="249">
        <v>8.3000000000000004E-2</v>
      </c>
      <c r="N94" s="249">
        <v>0.112</v>
      </c>
      <c r="O94" s="249">
        <v>0.115</v>
      </c>
      <c r="P94" s="226">
        <f t="shared" si="55"/>
        <v>0.12933722499999997</v>
      </c>
      <c r="R94" s="225">
        <f t="shared" si="56"/>
        <v>0.39755154639175255</v>
      </c>
      <c r="S94" s="225">
        <f t="shared" si="57"/>
        <v>0.31159420289855072</v>
      </c>
      <c r="T94" s="225">
        <f t="shared" si="58"/>
        <v>0.15456238361266295</v>
      </c>
      <c r="U94" s="225">
        <f t="shared" si="59"/>
        <v>0.19614711033274959</v>
      </c>
      <c r="V94" s="225">
        <f t="shared" si="60"/>
        <v>0.23562435331359557</v>
      </c>
      <c r="W94" s="235">
        <v>0.25</v>
      </c>
      <c r="Y94" s="243"/>
      <c r="Z94" s="225">
        <f t="shared" si="61"/>
        <v>-0.55541237113402064</v>
      </c>
      <c r="AA94" s="225">
        <f t="shared" si="62"/>
        <v>-0.22173913043478255</v>
      </c>
      <c r="AB94" s="225">
        <f t="shared" si="63"/>
        <v>6.3314711359403919E-2</v>
      </c>
      <c r="AC94" s="225">
        <f t="shared" si="64"/>
        <v>-0.14524518388791596</v>
      </c>
      <c r="AD94" s="235">
        <v>0.06</v>
      </c>
      <c r="AG94" s="247"/>
    </row>
    <row r="95" spans="1:35" ht="15" customHeight="1">
      <c r="A95" s="186"/>
      <c r="B95" s="230">
        <f t="shared" si="65"/>
        <v>12</v>
      </c>
      <c r="C95" s="203" t="s">
        <v>323</v>
      </c>
      <c r="D95" s="249">
        <v>0</v>
      </c>
      <c r="E95" s="249">
        <v>0</v>
      </c>
      <c r="F95" s="249">
        <v>0</v>
      </c>
      <c r="G95" s="249">
        <v>0</v>
      </c>
      <c r="H95" s="249">
        <v>0</v>
      </c>
      <c r="I95" s="226">
        <f t="shared" si="54"/>
        <v>0</v>
      </c>
      <c r="J95" s="200"/>
      <c r="K95" s="249">
        <v>0</v>
      </c>
      <c r="L95" s="249">
        <v>0</v>
      </c>
      <c r="M95" s="249">
        <v>0</v>
      </c>
      <c r="N95" s="249">
        <v>0</v>
      </c>
      <c r="O95" s="249">
        <v>0</v>
      </c>
      <c r="P95" s="226">
        <f t="shared" si="55"/>
        <v>0</v>
      </c>
      <c r="R95" s="225" t="str">
        <f t="shared" si="56"/>
        <v>--</v>
      </c>
      <c r="S95" s="225" t="str">
        <f t="shared" si="57"/>
        <v>--</v>
      </c>
      <c r="T95" s="225" t="str">
        <f t="shared" si="58"/>
        <v>--</v>
      </c>
      <c r="U95" s="225" t="str">
        <f t="shared" si="59"/>
        <v>--</v>
      </c>
      <c r="V95" s="225" t="str">
        <f t="shared" si="60"/>
        <v>--</v>
      </c>
      <c r="W95" s="235" t="s">
        <v>252</v>
      </c>
      <c r="Y95" s="243"/>
      <c r="Z95" s="225" t="str">
        <f t="shared" si="61"/>
        <v>--</v>
      </c>
      <c r="AA95" s="225" t="str">
        <f t="shared" si="62"/>
        <v>--</v>
      </c>
      <c r="AB95" s="225" t="str">
        <f t="shared" si="63"/>
        <v>--</v>
      </c>
      <c r="AC95" s="225" t="str">
        <f t="shared" si="64"/>
        <v>--</v>
      </c>
      <c r="AD95" s="235" t="s">
        <v>252</v>
      </c>
      <c r="AG95" s="229"/>
    </row>
    <row r="96" spans="1:35" ht="15" customHeight="1">
      <c r="A96" s="186"/>
      <c r="B96" s="230">
        <f t="shared" si="65"/>
        <v>13</v>
      </c>
      <c r="C96" s="203" t="s">
        <v>324</v>
      </c>
      <c r="D96" s="249">
        <v>0</v>
      </c>
      <c r="E96" s="249">
        <v>0</v>
      </c>
      <c r="F96" s="249">
        <v>0</v>
      </c>
      <c r="G96" s="249">
        <v>0</v>
      </c>
      <c r="H96" s="249">
        <v>0</v>
      </c>
      <c r="I96" s="226">
        <f t="shared" si="54"/>
        <v>0</v>
      </c>
      <c r="J96" s="200"/>
      <c r="K96" s="249">
        <v>0</v>
      </c>
      <c r="L96" s="249">
        <v>0</v>
      </c>
      <c r="M96" s="249">
        <v>0</v>
      </c>
      <c r="N96" s="249">
        <v>0</v>
      </c>
      <c r="O96" s="249">
        <v>0</v>
      </c>
      <c r="P96" s="226">
        <f t="shared" si="55"/>
        <v>0</v>
      </c>
      <c r="R96" s="225" t="str">
        <f t="shared" si="56"/>
        <v>--</v>
      </c>
      <c r="S96" s="225" t="str">
        <f t="shared" si="57"/>
        <v>--</v>
      </c>
      <c r="T96" s="225" t="str">
        <f t="shared" si="58"/>
        <v>--</v>
      </c>
      <c r="U96" s="225" t="str">
        <f t="shared" si="59"/>
        <v>--</v>
      </c>
      <c r="V96" s="225" t="str">
        <f t="shared" si="60"/>
        <v>--</v>
      </c>
      <c r="W96" s="235" t="s">
        <v>252</v>
      </c>
      <c r="Y96" s="243"/>
      <c r="Z96" s="225" t="str">
        <f t="shared" si="61"/>
        <v>--</v>
      </c>
      <c r="AA96" s="225" t="str">
        <f t="shared" si="62"/>
        <v>--</v>
      </c>
      <c r="AB96" s="225" t="str">
        <f t="shared" si="63"/>
        <v>--</v>
      </c>
      <c r="AC96" s="225" t="str">
        <f t="shared" si="64"/>
        <v>--</v>
      </c>
      <c r="AD96" s="235" t="s">
        <v>252</v>
      </c>
      <c r="AG96" s="229"/>
    </row>
    <row r="97" spans="1:34" ht="15" customHeight="1">
      <c r="A97" s="186"/>
      <c r="B97" s="230">
        <f t="shared" si="65"/>
        <v>14</v>
      </c>
      <c r="C97" s="203" t="s">
        <v>325</v>
      </c>
      <c r="D97" s="249">
        <v>0</v>
      </c>
      <c r="E97" s="249">
        <v>0</v>
      </c>
      <c r="F97" s="249">
        <v>0</v>
      </c>
      <c r="G97" s="249">
        <v>0</v>
      </c>
      <c r="H97" s="249">
        <v>0</v>
      </c>
      <c r="I97" s="226">
        <f t="shared" si="54"/>
        <v>0</v>
      </c>
      <c r="J97" s="200"/>
      <c r="K97" s="249">
        <v>0</v>
      </c>
      <c r="L97" s="249">
        <v>0</v>
      </c>
      <c r="M97" s="249">
        <v>0</v>
      </c>
      <c r="N97" s="249">
        <v>0</v>
      </c>
      <c r="O97" s="249">
        <v>0</v>
      </c>
      <c r="P97" s="226">
        <f t="shared" si="55"/>
        <v>0</v>
      </c>
      <c r="R97" s="225" t="str">
        <f t="shared" si="56"/>
        <v>--</v>
      </c>
      <c r="S97" s="225" t="str">
        <f t="shared" si="57"/>
        <v>--</v>
      </c>
      <c r="T97" s="225" t="str">
        <f t="shared" si="58"/>
        <v>--</v>
      </c>
      <c r="U97" s="225" t="str">
        <f t="shared" si="59"/>
        <v>--</v>
      </c>
      <c r="V97" s="225" t="str">
        <f t="shared" si="60"/>
        <v>--</v>
      </c>
      <c r="W97" s="235" t="s">
        <v>252</v>
      </c>
      <c r="Y97" s="243"/>
      <c r="Z97" s="225" t="str">
        <f t="shared" si="61"/>
        <v>--</v>
      </c>
      <c r="AA97" s="225" t="str">
        <f t="shared" si="62"/>
        <v>--</v>
      </c>
      <c r="AB97" s="225" t="str">
        <f t="shared" si="63"/>
        <v>--</v>
      </c>
      <c r="AC97" s="225" t="str">
        <f t="shared" si="64"/>
        <v>--</v>
      </c>
      <c r="AD97" s="235" t="s">
        <v>252</v>
      </c>
      <c r="AG97" s="229"/>
    </row>
    <row r="98" spans="1:34" ht="15" customHeight="1">
      <c r="A98" s="186"/>
      <c r="B98" s="230">
        <f t="shared" si="65"/>
        <v>15</v>
      </c>
      <c r="C98" s="203" t="s">
        <v>326</v>
      </c>
      <c r="D98" s="248">
        <v>1.708</v>
      </c>
      <c r="E98" s="248">
        <v>3.2389999999999999</v>
      </c>
      <c r="F98" s="248">
        <v>4.165</v>
      </c>
      <c r="G98" s="248">
        <v>4.7560000000000002</v>
      </c>
      <c r="H98" s="248">
        <v>5.5269600000000008</v>
      </c>
      <c r="I98" s="226">
        <f t="shared" si="54"/>
        <v>6.273099600000001</v>
      </c>
      <c r="J98" s="200"/>
      <c r="K98" s="248">
        <v>1.0129999999999999</v>
      </c>
      <c r="L98" s="248">
        <v>1.98</v>
      </c>
      <c r="M98" s="248">
        <v>1.6779999999999999</v>
      </c>
      <c r="N98" s="248">
        <v>2.2400000000000002</v>
      </c>
      <c r="O98" s="248">
        <v>2.2107840000000012</v>
      </c>
      <c r="P98" s="226">
        <f t="shared" si="55"/>
        <v>2.8228948200000006</v>
      </c>
      <c r="R98" s="225">
        <f t="shared" si="56"/>
        <v>0.59309133489461352</v>
      </c>
      <c r="S98" s="225">
        <f t="shared" si="57"/>
        <v>0.61129978388391482</v>
      </c>
      <c r="T98" s="225">
        <f t="shared" si="58"/>
        <v>0.40288115246098438</v>
      </c>
      <c r="U98" s="225">
        <f t="shared" si="59"/>
        <v>0.47098402018502944</v>
      </c>
      <c r="V98" s="225">
        <f t="shared" si="60"/>
        <v>0.40000000000000013</v>
      </c>
      <c r="W98" s="235">
        <v>0.45</v>
      </c>
      <c r="Y98" s="243"/>
      <c r="Z98" s="225">
        <f t="shared" si="61"/>
        <v>0.8963700234192038</v>
      </c>
      <c r="AA98" s="225">
        <f t="shared" si="62"/>
        <v>0.28589070700833608</v>
      </c>
      <c r="AB98" s="225">
        <f t="shared" si="63"/>
        <v>0.1418967587034814</v>
      </c>
      <c r="AC98" s="225">
        <f t="shared" si="64"/>
        <v>0.16210260723296899</v>
      </c>
      <c r="AD98" s="235">
        <v>0.13500000000000001</v>
      </c>
      <c r="AG98" s="247"/>
      <c r="AH98" s="246"/>
    </row>
    <row r="99" spans="1:34" s="188" customFormat="1" ht="15" customHeight="1">
      <c r="B99" s="221"/>
      <c r="C99" s="221" t="s">
        <v>373</v>
      </c>
      <c r="D99" s="219">
        <f t="shared" ref="D99:I99" si="66">SUM(D84:D98)</f>
        <v>43.639893999999998</v>
      </c>
      <c r="E99" s="219">
        <f t="shared" si="66"/>
        <v>50.916459999999994</v>
      </c>
      <c r="F99" s="219">
        <f t="shared" si="66"/>
        <v>48.008310000000002</v>
      </c>
      <c r="G99" s="219">
        <f t="shared" si="66"/>
        <v>50.883270000000003</v>
      </c>
      <c r="H99" s="219">
        <f t="shared" si="66"/>
        <v>57.936458139999999</v>
      </c>
      <c r="I99" s="219">
        <f t="shared" si="66"/>
        <v>59.847988835600006</v>
      </c>
      <c r="J99" s="200"/>
      <c r="K99" s="219">
        <f t="shared" ref="K99:P99" si="67">SUM(K84:K98)</f>
        <v>22.516258000000001</v>
      </c>
      <c r="L99" s="219">
        <f t="shared" si="67"/>
        <v>24.355</v>
      </c>
      <c r="M99" s="219">
        <f t="shared" si="67"/>
        <v>21.207899999999999</v>
      </c>
      <c r="N99" s="219">
        <f t="shared" si="67"/>
        <v>22.9771</v>
      </c>
      <c r="O99" s="219">
        <f t="shared" si="67"/>
        <v>26.140624290380003</v>
      </c>
      <c r="P99" s="219">
        <f t="shared" si="67"/>
        <v>26.620928432460001</v>
      </c>
      <c r="Q99" s="186"/>
      <c r="R99" s="245">
        <f t="shared" si="56"/>
        <v>0.51595583618970298</v>
      </c>
      <c r="S99" s="245">
        <f t="shared" si="57"/>
        <v>0.47833254707809625</v>
      </c>
      <c r="T99" s="245">
        <f t="shared" si="58"/>
        <v>0.44175477120523504</v>
      </c>
      <c r="U99" s="217">
        <f t="shared" si="59"/>
        <v>0.45156492497435796</v>
      </c>
      <c r="V99" s="217">
        <f t="shared" si="60"/>
        <v>0.45119472486931705</v>
      </c>
      <c r="W99" s="217">
        <f>IFERROR(P99/I99,"--")</f>
        <v>0.44480907295960453</v>
      </c>
      <c r="X99" s="186"/>
      <c r="Y99" s="241"/>
      <c r="Z99" s="217">
        <f t="shared" si="61"/>
        <v>0.16674114744641666</v>
      </c>
      <c r="AA99" s="217">
        <f t="shared" si="62"/>
        <v>-5.7116107443447417E-2</v>
      </c>
      <c r="AB99" s="217">
        <f t="shared" si="63"/>
        <v>5.988463247300313E-2</v>
      </c>
      <c r="AC99" s="217">
        <f t="shared" si="64"/>
        <v>0.13861507210523216</v>
      </c>
      <c r="AD99" s="217">
        <f>IFERROR(I99/H99-1,"--")</f>
        <v>3.299357187111629E-2</v>
      </c>
      <c r="AE99" s="186"/>
      <c r="AH99" s="216"/>
    </row>
    <row r="100" spans="1:34" s="212" customFormat="1" ht="15" customHeight="1">
      <c r="A100" s="205"/>
      <c r="B100" s="205"/>
      <c r="C100" s="205" t="s">
        <v>304</v>
      </c>
      <c r="D100" s="215"/>
      <c r="E100" s="213">
        <f>E99/D99-1</f>
        <v>0.16674114744641666</v>
      </c>
      <c r="F100" s="213">
        <f>F99/E99-1</f>
        <v>-5.7116107443447417E-2</v>
      </c>
      <c r="G100" s="213">
        <f>G99/F99-1</f>
        <v>5.988463247300313E-2</v>
      </c>
      <c r="H100" s="213">
        <f>H99/G99-1</f>
        <v>0.13861507210523216</v>
      </c>
      <c r="I100" s="213">
        <f>I99/H99-1</f>
        <v>3.299357187111629E-2</v>
      </c>
      <c r="J100" s="207"/>
      <c r="K100" s="215"/>
      <c r="L100" s="213">
        <f>L99/K99-1</f>
        <v>8.1662858899556046E-2</v>
      </c>
      <c r="M100" s="213">
        <f>M99/L99-1</f>
        <v>-0.12921781974953817</v>
      </c>
      <c r="N100" s="213">
        <f>N99/M99-1</f>
        <v>8.3421743784156011E-2</v>
      </c>
      <c r="O100" s="213">
        <f>O99/N99-1</f>
        <v>0.13768161736598628</v>
      </c>
      <c r="P100" s="213">
        <f>P99/O99-1</f>
        <v>1.8373858892756223E-2</v>
      </c>
      <c r="Q100" s="207"/>
      <c r="R100" s="214"/>
      <c r="S100" s="213"/>
      <c r="T100" s="213"/>
      <c r="U100" s="213"/>
      <c r="V100" s="213"/>
      <c r="W100" s="213"/>
      <c r="X100" s="207"/>
      <c r="Y100" s="222"/>
      <c r="Z100" s="225"/>
      <c r="AA100" s="225"/>
      <c r="AB100" s="225"/>
      <c r="AC100" s="225"/>
      <c r="AD100" s="225"/>
      <c r="AE100" s="207"/>
      <c r="AH100" s="193"/>
    </row>
    <row r="101" spans="1:34" s="189" customFormat="1" ht="5.25" customHeight="1">
      <c r="A101" s="196"/>
      <c r="B101" s="196"/>
      <c r="C101" s="196"/>
      <c r="D101" s="223"/>
      <c r="E101" s="213"/>
      <c r="F101" s="213"/>
      <c r="G101" s="213"/>
      <c r="H101" s="213"/>
      <c r="I101" s="213"/>
      <c r="J101" s="186"/>
      <c r="K101" s="223"/>
      <c r="L101" s="213"/>
      <c r="M101" s="213"/>
      <c r="N101" s="213"/>
      <c r="O101" s="213"/>
      <c r="P101" s="213"/>
      <c r="Q101" s="186"/>
      <c r="R101" s="238"/>
      <c r="S101" s="237"/>
      <c r="T101" s="237"/>
      <c r="U101" s="237"/>
      <c r="V101" s="237"/>
      <c r="W101" s="237"/>
      <c r="X101" s="186"/>
      <c r="Y101" s="243"/>
      <c r="Z101" s="225"/>
      <c r="AA101" s="225"/>
      <c r="AB101" s="225"/>
      <c r="AC101" s="225"/>
      <c r="AD101" s="225"/>
      <c r="AE101" s="186"/>
      <c r="AH101" s="193"/>
    </row>
    <row r="102" spans="1:34" s="189" customFormat="1" ht="15" customHeight="1">
      <c r="A102" s="196"/>
      <c r="B102" s="196"/>
      <c r="C102" s="186" t="s">
        <v>374</v>
      </c>
      <c r="D102" s="244">
        <f t="shared" ref="D102:I102" si="68">D105-D99</f>
        <v>57.151628430000301</v>
      </c>
      <c r="E102" s="244">
        <f t="shared" si="68"/>
        <v>63.770827040000107</v>
      </c>
      <c r="F102" s="244">
        <f t="shared" si="68"/>
        <v>73.805033989999998</v>
      </c>
      <c r="G102" s="244">
        <f t="shared" si="68"/>
        <v>82.772493659999981</v>
      </c>
      <c r="H102" s="244">
        <f t="shared" si="68"/>
        <v>87.396584197844007</v>
      </c>
      <c r="I102" s="244">
        <f t="shared" si="68"/>
        <v>93.982518685624484</v>
      </c>
      <c r="J102" s="200"/>
      <c r="K102" s="244">
        <f t="shared" ref="K102:P102" si="69">K105-K99</f>
        <v>3.9071420863666901</v>
      </c>
      <c r="L102" s="244">
        <f t="shared" si="69"/>
        <v>8.8854766667260385</v>
      </c>
      <c r="M102" s="244">
        <f t="shared" si="69"/>
        <v>10.91597011420863</v>
      </c>
      <c r="N102" s="244">
        <f t="shared" si="69"/>
        <v>14.158165012108242</v>
      </c>
      <c r="O102" s="244">
        <f t="shared" si="69"/>
        <v>16.662972886247005</v>
      </c>
      <c r="P102" s="244">
        <f t="shared" si="69"/>
        <v>19.602734784653652</v>
      </c>
      <c r="Q102" s="186"/>
      <c r="R102" s="225">
        <f t="shared" ref="R102:W102" si="70">IFERROR(K102/D102,"--")</f>
        <v>6.8364492730984633E-2</v>
      </c>
      <c r="S102" s="225">
        <f t="shared" si="70"/>
        <v>0.13933450574747358</v>
      </c>
      <c r="T102" s="225">
        <f t="shared" si="70"/>
        <v>0.14790278554288935</v>
      </c>
      <c r="U102" s="225">
        <f t="shared" si="70"/>
        <v>0.17104915396490236</v>
      </c>
      <c r="V102" s="225">
        <f t="shared" si="70"/>
        <v>0.19065931511151743</v>
      </c>
      <c r="W102" s="225">
        <f t="shared" si="70"/>
        <v>0.20857852139742747</v>
      </c>
      <c r="X102" s="186"/>
      <c r="Y102" s="243"/>
      <c r="Z102" s="225">
        <f>IFERROR(E102/D102-1,"--")</f>
        <v>0.1158181978682733</v>
      </c>
      <c r="AA102" s="225">
        <f>IFERROR(F102/E102-1,"--")</f>
        <v>0.15734791935042591</v>
      </c>
      <c r="AB102" s="225">
        <f>IFERROR(G102/F102-1,"--")</f>
        <v>0.12150200582815263</v>
      </c>
      <c r="AC102" s="225">
        <f>IFERROR(H102/G102-1,"--")</f>
        <v>5.5865062575475299E-2</v>
      </c>
      <c r="AD102" s="225">
        <f>IFERROR(I102/H102-1,"--")</f>
        <v>7.5356886636113396E-2</v>
      </c>
      <c r="AE102" s="186"/>
      <c r="AH102" s="193"/>
    </row>
    <row r="103" spans="1:34" s="212" customFormat="1" ht="15" customHeight="1">
      <c r="A103" s="205"/>
      <c r="B103" s="205"/>
      <c r="C103" s="212" t="s">
        <v>304</v>
      </c>
      <c r="D103" s="215"/>
      <c r="E103" s="224">
        <f>E102/D102-1</f>
        <v>0.1158181978682733</v>
      </c>
      <c r="F103" s="224">
        <f>F102/E102-1</f>
        <v>0.15734791935042591</v>
      </c>
      <c r="G103" s="224">
        <f>G102/F102-1</f>
        <v>0.12150200582815263</v>
      </c>
      <c r="H103" s="224">
        <f>H102/G102-1</f>
        <v>5.5865062575475299E-2</v>
      </c>
      <c r="I103" s="224">
        <f>I102/H102-1</f>
        <v>7.5356886636113396E-2</v>
      </c>
      <c r="J103" s="207"/>
      <c r="K103" s="215"/>
      <c r="L103" s="224">
        <f>L102/K102-1</f>
        <v>1.2741626668071282</v>
      </c>
      <c r="M103" s="224">
        <f>M102/L102-1</f>
        <v>0.22851823527783255</v>
      </c>
      <c r="N103" s="224">
        <f>N102/M102-1</f>
        <v>0.29701390384712134</v>
      </c>
      <c r="O103" s="224">
        <f>O102/N102-1</f>
        <v>0.17691613793147765</v>
      </c>
      <c r="P103" s="224">
        <f>P102/O102-1</f>
        <v>0.17642481437589197</v>
      </c>
      <c r="Q103" s="207"/>
      <c r="R103" s="214"/>
      <c r="S103" s="213"/>
      <c r="T103" s="213"/>
      <c r="U103" s="213"/>
      <c r="V103" s="213"/>
      <c r="W103" s="213"/>
      <c r="X103" s="207"/>
      <c r="Y103" s="222"/>
      <c r="Z103" s="213"/>
      <c r="AA103" s="213"/>
      <c r="AB103" s="213"/>
      <c r="AC103" s="213"/>
      <c r="AD103" s="213"/>
      <c r="AE103" s="207"/>
      <c r="AH103" s="193"/>
    </row>
    <row r="104" spans="1:34" s="189" customFormat="1" ht="5.25" customHeight="1">
      <c r="A104" s="196"/>
      <c r="B104" s="196"/>
      <c r="C104" s="196"/>
      <c r="D104" s="223"/>
      <c r="E104" s="213"/>
      <c r="F104" s="213"/>
      <c r="G104" s="213"/>
      <c r="H104" s="213"/>
      <c r="I104" s="213"/>
      <c r="J104" s="186"/>
      <c r="K104" s="223"/>
      <c r="L104" s="213"/>
      <c r="M104" s="213"/>
      <c r="N104" s="213"/>
      <c r="O104" s="213"/>
      <c r="P104" s="213"/>
      <c r="Q104" s="186"/>
      <c r="R104" s="238"/>
      <c r="S104" s="237"/>
      <c r="T104" s="237"/>
      <c r="U104" s="237"/>
      <c r="V104" s="237"/>
      <c r="W104" s="237"/>
      <c r="X104" s="186"/>
      <c r="Y104" s="243"/>
      <c r="Z104" s="213"/>
      <c r="AA104" s="213"/>
      <c r="AB104" s="213"/>
      <c r="AC104" s="213"/>
      <c r="AD104" s="213"/>
      <c r="AE104" s="186"/>
      <c r="AH104" s="193"/>
    </row>
    <row r="105" spans="1:34" ht="15" customHeight="1">
      <c r="B105" s="221"/>
      <c r="C105" s="221" t="s">
        <v>380</v>
      </c>
      <c r="D105" s="242">
        <v>100.7915224300003</v>
      </c>
      <c r="E105" s="242">
        <v>114.6872870400001</v>
      </c>
      <c r="F105" s="242">
        <v>121.81334399000001</v>
      </c>
      <c r="G105" s="242">
        <v>133.65576365999999</v>
      </c>
      <c r="H105" s="242">
        <v>145.33304233784401</v>
      </c>
      <c r="I105" s="242">
        <v>153.83050752122449</v>
      </c>
      <c r="J105" s="200"/>
      <c r="K105" s="242">
        <v>26.423400086366691</v>
      </c>
      <c r="L105" s="242">
        <v>33.240476666726039</v>
      </c>
      <c r="M105" s="242">
        <v>32.123870114208628</v>
      </c>
      <c r="N105" s="242">
        <v>37.135265012108242</v>
      </c>
      <c r="O105" s="242">
        <v>42.803597176627008</v>
      </c>
      <c r="P105" s="242">
        <v>46.223663217113653</v>
      </c>
      <c r="R105" s="217">
        <f t="shared" ref="R105:W105" si="71">IFERROR(K105/D105,"--")</f>
        <v>0.26215895394097</v>
      </c>
      <c r="S105" s="217">
        <f t="shared" si="71"/>
        <v>0.28983575708031684</v>
      </c>
      <c r="T105" s="217">
        <f t="shared" si="71"/>
        <v>0.26371388439057847</v>
      </c>
      <c r="U105" s="217">
        <f t="shared" si="71"/>
        <v>0.27784260098632729</v>
      </c>
      <c r="V105" s="217">
        <f t="shared" si="71"/>
        <v>0.29452075376723302</v>
      </c>
      <c r="W105" s="217">
        <f t="shared" si="71"/>
        <v>0.30048437050587007</v>
      </c>
      <c r="Y105" s="241"/>
      <c r="Z105" s="217">
        <f>IFERROR(E105/D105-1,"--")</f>
        <v>0.13786640259998473</v>
      </c>
      <c r="AA105" s="217">
        <f>IFERROR(F105/E105-1,"--")</f>
        <v>6.2134671888389059E-2</v>
      </c>
      <c r="AB105" s="217">
        <f>IFERROR(G105/F105-1,"--")</f>
        <v>9.7217753672144136E-2</v>
      </c>
      <c r="AC105" s="217">
        <f>IFERROR(H105/G105-1,"--")</f>
        <v>8.7368313629550887E-2</v>
      </c>
      <c r="AD105" s="217">
        <f>IFERROR(I105/H105-1,"--")</f>
        <v>5.8468914203468669E-2</v>
      </c>
      <c r="AH105" s="240"/>
    </row>
    <row r="106" spans="1:34" s="212" customFormat="1" ht="15" customHeight="1">
      <c r="A106" s="205"/>
      <c r="B106" s="205"/>
      <c r="C106" s="205" t="s">
        <v>304</v>
      </c>
      <c r="D106" s="215"/>
      <c r="E106" s="213">
        <f>E105/D105-1</f>
        <v>0.13786640259998473</v>
      </c>
      <c r="F106" s="213">
        <f>F105/E105-1</f>
        <v>6.2134671888389059E-2</v>
      </c>
      <c r="G106" s="213">
        <f>G105/F105-1</f>
        <v>9.7217753672144136E-2</v>
      </c>
      <c r="H106" s="213">
        <f>H105/G105-1</f>
        <v>8.7368313629550887E-2</v>
      </c>
      <c r="I106" s="213">
        <f>I105/H105-1</f>
        <v>5.8468914203468669E-2</v>
      </c>
      <c r="J106" s="207"/>
      <c r="K106" s="215"/>
      <c r="L106" s="213">
        <f>L105/K105-1</f>
        <v>0.25799392046736092</v>
      </c>
      <c r="M106" s="213">
        <f>M105/L105-1</f>
        <v>-3.3591773178004436E-2</v>
      </c>
      <c r="N106" s="213">
        <f>N105/M105-1</f>
        <v>0.15600221517777313</v>
      </c>
      <c r="O106" s="213">
        <f>O105/N105-1</f>
        <v>0.15264014307345231</v>
      </c>
      <c r="P106" s="213">
        <f>P105/O105-1</f>
        <v>7.9901369652973564E-2</v>
      </c>
      <c r="Q106" s="207"/>
      <c r="R106" s="214"/>
      <c r="S106" s="213"/>
      <c r="T106" s="213"/>
      <c r="U106" s="213"/>
      <c r="V106" s="213"/>
      <c r="W106" s="213"/>
      <c r="X106" s="207"/>
      <c r="Y106" s="239"/>
      <c r="Z106" s="213"/>
      <c r="AA106" s="213"/>
      <c r="AB106" s="213"/>
      <c r="AC106" s="213"/>
      <c r="AD106" s="213"/>
      <c r="AE106" s="207"/>
      <c r="AH106" s="193"/>
    </row>
    <row r="107" spans="1:34">
      <c r="F107" s="209"/>
      <c r="G107" s="192"/>
      <c r="H107" s="192"/>
      <c r="I107" s="192"/>
      <c r="K107" s="238"/>
      <c r="L107" s="237"/>
      <c r="M107" s="237"/>
      <c r="N107" s="237"/>
      <c r="O107" s="236"/>
      <c r="P107" s="235"/>
      <c r="R107" s="204"/>
      <c r="S107" s="204"/>
      <c r="T107" s="204"/>
      <c r="U107" s="204"/>
      <c r="V107" s="204"/>
      <c r="Y107" s="234"/>
      <c r="Z107" s="204"/>
      <c r="AA107" s="204"/>
      <c r="AB107" s="204"/>
      <c r="AC107" s="204"/>
      <c r="AD107" s="204"/>
    </row>
    <row r="108" spans="1:34" ht="20.25" customHeight="1">
      <c r="A108" s="230" t="s">
        <v>1</v>
      </c>
      <c r="B108" s="233" t="s">
        <v>369</v>
      </c>
      <c r="C108" s="233" t="s">
        <v>381</v>
      </c>
      <c r="D108" s="232" t="s">
        <v>189</v>
      </c>
      <c r="E108" s="231"/>
      <c r="F108" s="231"/>
      <c r="G108" s="231"/>
      <c r="H108" s="231"/>
      <c r="I108" s="231"/>
      <c r="K108" s="232" t="s">
        <v>73</v>
      </c>
      <c r="L108" s="231"/>
      <c r="M108" s="231"/>
      <c r="N108" s="231"/>
      <c r="O108" s="231"/>
      <c r="P108" s="231"/>
      <c r="R108" s="232" t="s">
        <v>371</v>
      </c>
      <c r="S108" s="231"/>
      <c r="T108" s="231"/>
      <c r="U108" s="231"/>
      <c r="V108" s="231"/>
      <c r="W108" s="231"/>
      <c r="Y108" s="232" t="s">
        <v>372</v>
      </c>
      <c r="Z108" s="231"/>
      <c r="AA108" s="231"/>
      <c r="AB108" s="231"/>
      <c r="AC108" s="231"/>
      <c r="AD108" s="231"/>
    </row>
    <row r="109" spans="1:34" ht="15" customHeight="1">
      <c r="B109" s="230">
        <v>1</v>
      </c>
      <c r="C109" s="203" t="s">
        <v>312</v>
      </c>
      <c r="D109" s="229">
        <f t="shared" ref="D109:I123" si="72">SUM(D9,D34,D84,D59)</f>
        <v>136.06858</v>
      </c>
      <c r="E109" s="226">
        <f t="shared" si="72"/>
        <v>123.84384299999999</v>
      </c>
      <c r="F109" s="226">
        <f t="shared" si="72"/>
        <v>222</v>
      </c>
      <c r="G109" s="226">
        <f t="shared" si="72"/>
        <v>191.51265599999999</v>
      </c>
      <c r="H109" s="226">
        <f t="shared" si="72"/>
        <v>168.90162871999999</v>
      </c>
      <c r="I109" s="226">
        <f t="shared" si="72"/>
        <v>172.1489184072</v>
      </c>
      <c r="J109" s="200"/>
      <c r="K109" s="226">
        <f t="shared" ref="K109:P123" si="73">SUM(K9,K34,K84,K59)</f>
        <v>19.095223000000001</v>
      </c>
      <c r="L109" s="226">
        <f t="shared" si="73"/>
        <v>16.453522</v>
      </c>
      <c r="M109" s="226">
        <f t="shared" si="73"/>
        <v>26.073</v>
      </c>
      <c r="N109" s="226">
        <f t="shared" si="73"/>
        <v>23.784566000000002</v>
      </c>
      <c r="O109" s="226">
        <f t="shared" si="73"/>
        <v>18.809791149999953</v>
      </c>
      <c r="P109" s="226">
        <f t="shared" si="73"/>
        <v>21.799330452719257</v>
      </c>
      <c r="R109" s="225">
        <f t="shared" ref="R109:R124" si="74">IFERROR(K109/D109,"--")</f>
        <v>0.14033528533920175</v>
      </c>
      <c r="S109" s="225">
        <f t="shared" ref="S109:S124" si="75">IFERROR(L109/E109,"--")</f>
        <v>0.13285700444550966</v>
      </c>
      <c r="T109" s="225">
        <f t="shared" ref="T109:T124" si="76">IFERROR(M109/F109,"--")</f>
        <v>0.11744594594594594</v>
      </c>
      <c r="U109" s="225">
        <f t="shared" ref="U109:U124" si="77">IFERROR(N109/G109,"--")</f>
        <v>0.12419318125899732</v>
      </c>
      <c r="V109" s="225">
        <f t="shared" ref="V109:V124" si="78">IFERROR(O109/H109,"--")</f>
        <v>0.11136536274130461</v>
      </c>
      <c r="W109" s="225">
        <f t="shared" ref="W109:W124" si="79">IFERROR(P109/I109,"--")</f>
        <v>0.12663065591359252</v>
      </c>
      <c r="X109" s="207"/>
      <c r="Y109" s="222"/>
      <c r="Z109" s="225">
        <f t="shared" ref="Z109:Z124" si="80">IFERROR(E109/D109-1,"--")</f>
        <v>-8.9842467673286519E-2</v>
      </c>
      <c r="AA109" s="225">
        <f t="shared" ref="AA109:AA124" si="81">IFERROR(F109/E109-1,"--")</f>
        <v>0.79258003161287571</v>
      </c>
      <c r="AB109" s="225">
        <f t="shared" ref="AB109:AB124" si="82">IFERROR(G109/F109-1,"--")</f>
        <v>-0.13733037837837836</v>
      </c>
      <c r="AC109" s="225">
        <f t="shared" ref="AC109:AC124" si="83">IFERROR(H109/G109-1,"--")</f>
        <v>-0.11806544670342833</v>
      </c>
      <c r="AD109" s="225">
        <f t="shared" ref="AD109:AD124" si="84">IFERROR(I109/H109-1,"--")</f>
        <v>1.9225922874807067E-2</v>
      </c>
      <c r="AE109" s="207"/>
    </row>
    <row r="110" spans="1:34" ht="15" customHeight="1">
      <c r="B110" s="230">
        <f t="shared" ref="B110:B123" si="85">B109+1</f>
        <v>2</v>
      </c>
      <c r="C110" s="203" t="s">
        <v>313</v>
      </c>
      <c r="D110" s="229">
        <f t="shared" si="72"/>
        <v>9.8109999999999999</v>
      </c>
      <c r="E110" s="226">
        <f t="shared" si="72"/>
        <v>39.447000000000003</v>
      </c>
      <c r="F110" s="226">
        <f t="shared" si="72"/>
        <v>110.07599999999999</v>
      </c>
      <c r="G110" s="226">
        <f t="shared" si="72"/>
        <v>121.399</v>
      </c>
      <c r="H110" s="226">
        <f t="shared" si="72"/>
        <v>115.474</v>
      </c>
      <c r="I110" s="226">
        <f t="shared" si="72"/>
        <v>113.74189</v>
      </c>
      <c r="J110" s="200"/>
      <c r="K110" s="226">
        <f t="shared" si="73"/>
        <v>1.6040000000000001</v>
      </c>
      <c r="L110" s="226">
        <f t="shared" si="73"/>
        <v>3.7309999999999999</v>
      </c>
      <c r="M110" s="226">
        <f t="shared" si="73"/>
        <v>7.6139999999999999</v>
      </c>
      <c r="N110" s="226">
        <f t="shared" si="73"/>
        <v>10.183999999999999</v>
      </c>
      <c r="O110" s="226">
        <f t="shared" si="73"/>
        <v>10.455</v>
      </c>
      <c r="P110" s="226">
        <f t="shared" ca="1" si="73"/>
        <v>10.782119517053493</v>
      </c>
      <c r="R110" s="225">
        <f t="shared" si="74"/>
        <v>0.16348996024870044</v>
      </c>
      <c r="S110" s="225">
        <f t="shared" si="75"/>
        <v>9.4582604507313595E-2</v>
      </c>
      <c r="T110" s="225">
        <f t="shared" si="76"/>
        <v>6.9170391365965339E-2</v>
      </c>
      <c r="U110" s="225">
        <f t="shared" si="77"/>
        <v>8.3888664651273898E-2</v>
      </c>
      <c r="V110" s="225">
        <f t="shared" si="78"/>
        <v>9.0539861787068951E-2</v>
      </c>
      <c r="W110" s="225">
        <f t="shared" ca="1" si="79"/>
        <v>9.4794622430254091E-2</v>
      </c>
      <c r="X110" s="207"/>
      <c r="Y110" s="222"/>
      <c r="Z110" s="225">
        <f t="shared" si="80"/>
        <v>3.0206910610539195</v>
      </c>
      <c r="AA110" s="225">
        <f t="shared" si="81"/>
        <v>1.7904783633736403</v>
      </c>
      <c r="AB110" s="225">
        <f t="shared" si="82"/>
        <v>0.1028652930702425</v>
      </c>
      <c r="AC110" s="225">
        <f t="shared" si="83"/>
        <v>-4.8806003344343818E-2</v>
      </c>
      <c r="AD110" s="225">
        <f t="shared" si="84"/>
        <v>-1.5000000000000013E-2</v>
      </c>
      <c r="AE110" s="207"/>
    </row>
    <row r="111" spans="1:34" ht="15" customHeight="1">
      <c r="B111" s="230">
        <f t="shared" si="85"/>
        <v>3</v>
      </c>
      <c r="C111" s="203" t="s">
        <v>314</v>
      </c>
      <c r="D111" s="228">
        <f t="shared" si="72"/>
        <v>45.634999999999998</v>
      </c>
      <c r="E111" s="227">
        <f t="shared" si="72"/>
        <v>44.012999999999998</v>
      </c>
      <c r="F111" s="227">
        <f t="shared" si="72"/>
        <v>50.478999999999999</v>
      </c>
      <c r="G111" s="227">
        <f t="shared" si="72"/>
        <v>51.195999999999998</v>
      </c>
      <c r="H111" s="227">
        <f t="shared" si="72"/>
        <v>44.657768109999999</v>
      </c>
      <c r="I111" s="226">
        <f t="shared" si="72"/>
        <v>46.452089842871025</v>
      </c>
      <c r="J111" s="200"/>
      <c r="K111" s="227">
        <f t="shared" si="73"/>
        <v>7.3460000000000001</v>
      </c>
      <c r="L111" s="227">
        <f t="shared" si="73"/>
        <v>6.218</v>
      </c>
      <c r="M111" s="227">
        <f t="shared" si="73"/>
        <v>7.6979999999999995</v>
      </c>
      <c r="N111" s="227">
        <f t="shared" si="73"/>
        <v>8.8739999999999988</v>
      </c>
      <c r="O111" s="227">
        <f t="shared" si="73"/>
        <v>7.5689482799999999</v>
      </c>
      <c r="P111" s="226">
        <f t="shared" si="73"/>
        <v>8.1735697522191177</v>
      </c>
      <c r="R111" s="225">
        <f t="shared" si="74"/>
        <v>0.16097293743836968</v>
      </c>
      <c r="S111" s="225">
        <f t="shared" si="75"/>
        <v>0.14127644105150752</v>
      </c>
      <c r="T111" s="225">
        <f t="shared" si="76"/>
        <v>0.15249905901463975</v>
      </c>
      <c r="U111" s="225">
        <f t="shared" si="77"/>
        <v>0.17333385420735994</v>
      </c>
      <c r="V111" s="225">
        <f t="shared" si="78"/>
        <v>0.16948783157627445</v>
      </c>
      <c r="W111" s="225">
        <f t="shared" si="79"/>
        <v>0.17595698664725437</v>
      </c>
      <c r="X111" s="207"/>
      <c r="Y111" s="222"/>
      <c r="Z111" s="225">
        <f t="shared" si="80"/>
        <v>-3.5542894708009198E-2</v>
      </c>
      <c r="AA111" s="225">
        <f t="shared" si="81"/>
        <v>0.14691113989048699</v>
      </c>
      <c r="AB111" s="225">
        <f t="shared" si="82"/>
        <v>1.4203926385229382E-2</v>
      </c>
      <c r="AC111" s="225">
        <f t="shared" si="83"/>
        <v>-0.12770981893116651</v>
      </c>
      <c r="AD111" s="225">
        <f t="shared" si="84"/>
        <v>4.0179386673586004E-2</v>
      </c>
      <c r="AE111" s="207"/>
    </row>
    <row r="112" spans="1:34" ht="15" customHeight="1">
      <c r="B112" s="230">
        <f t="shared" si="85"/>
        <v>4</v>
      </c>
      <c r="C112" s="203" t="s">
        <v>315</v>
      </c>
      <c r="D112" s="228">
        <f t="shared" si="72"/>
        <v>44.197321000000002</v>
      </c>
      <c r="E112" s="227">
        <f t="shared" si="72"/>
        <v>42.274000000000001</v>
      </c>
      <c r="F112" s="227">
        <f t="shared" si="72"/>
        <v>48.397999999999996</v>
      </c>
      <c r="G112" s="227">
        <f t="shared" si="72"/>
        <v>49.36999999999999</v>
      </c>
      <c r="H112" s="227">
        <f t="shared" si="72"/>
        <v>56.416422929999996</v>
      </c>
      <c r="I112" s="226">
        <f t="shared" si="72"/>
        <v>60.237637905800007</v>
      </c>
      <c r="J112" s="200"/>
      <c r="K112" s="227">
        <f t="shared" si="73"/>
        <v>8.1323895099999994</v>
      </c>
      <c r="L112" s="227">
        <f t="shared" si="73"/>
        <v>8.3990000000000009</v>
      </c>
      <c r="M112" s="227">
        <f t="shared" si="73"/>
        <v>8.1710000000000012</v>
      </c>
      <c r="N112" s="227">
        <f t="shared" si="73"/>
        <v>8.4740000000000002</v>
      </c>
      <c r="O112" s="227">
        <f t="shared" si="73"/>
        <v>8.32483255</v>
      </c>
      <c r="P112" s="226">
        <f t="shared" si="73"/>
        <v>10.758210192017435</v>
      </c>
      <c r="R112" s="225">
        <f t="shared" si="74"/>
        <v>0.18400186540718155</v>
      </c>
      <c r="S112" s="225">
        <f t="shared" si="75"/>
        <v>0.198680039740739</v>
      </c>
      <c r="T112" s="225">
        <f t="shared" si="76"/>
        <v>0.16882929046654824</v>
      </c>
      <c r="U112" s="225">
        <f t="shared" si="77"/>
        <v>0.1716426979947337</v>
      </c>
      <c r="V112" s="225">
        <f t="shared" si="78"/>
        <v>0.14756044636735002</v>
      </c>
      <c r="W112" s="225">
        <f t="shared" si="79"/>
        <v>0.17859614961730721</v>
      </c>
      <c r="X112" s="207"/>
      <c r="Y112" s="222"/>
      <c r="Z112" s="225">
        <f t="shared" si="80"/>
        <v>-4.3516687357588957E-2</v>
      </c>
      <c r="AA112" s="225">
        <f t="shared" si="81"/>
        <v>0.14486445569380701</v>
      </c>
      <c r="AB112" s="225">
        <f t="shared" si="82"/>
        <v>2.0083474523740596E-2</v>
      </c>
      <c r="AC112" s="225">
        <f t="shared" si="83"/>
        <v>0.14272681648774577</v>
      </c>
      <c r="AD112" s="225">
        <f t="shared" si="84"/>
        <v>6.7732315828340939E-2</v>
      </c>
      <c r="AE112" s="207"/>
    </row>
    <row r="113" spans="1:34" ht="15" customHeight="1">
      <c r="B113" s="230">
        <f t="shared" si="85"/>
        <v>5</v>
      </c>
      <c r="C113" s="203" t="s">
        <v>316</v>
      </c>
      <c r="D113" s="228">
        <f t="shared" si="72"/>
        <v>50.558954</v>
      </c>
      <c r="E113" s="227">
        <f t="shared" si="72"/>
        <v>41.060572000000001</v>
      </c>
      <c r="F113" s="227">
        <f t="shared" si="72"/>
        <v>33.481999999999999</v>
      </c>
      <c r="G113" s="227">
        <f t="shared" si="72"/>
        <v>45.68</v>
      </c>
      <c r="H113" s="227">
        <f t="shared" si="72"/>
        <v>73.151057289999997</v>
      </c>
      <c r="I113" s="226">
        <f t="shared" si="72"/>
        <v>70.648262133899991</v>
      </c>
      <c r="J113" s="200"/>
      <c r="K113" s="227">
        <f t="shared" si="73"/>
        <v>18.755800000000001</v>
      </c>
      <c r="L113" s="227">
        <f t="shared" si="73"/>
        <v>13.602625999999999</v>
      </c>
      <c r="M113" s="227">
        <f t="shared" si="73"/>
        <v>12.504999999999999</v>
      </c>
      <c r="N113" s="227">
        <f t="shared" si="73"/>
        <v>18.757773</v>
      </c>
      <c r="O113" s="227">
        <f t="shared" si="73"/>
        <v>25.77159297</v>
      </c>
      <c r="P113" s="226">
        <f t="shared" si="73"/>
        <v>24.010894783898181</v>
      </c>
      <c r="R113" s="225">
        <f t="shared" si="74"/>
        <v>0.37096890889000594</v>
      </c>
      <c r="S113" s="225">
        <f t="shared" si="75"/>
        <v>0.33128194122575788</v>
      </c>
      <c r="T113" s="225">
        <f t="shared" si="76"/>
        <v>0.37348426019951014</v>
      </c>
      <c r="U113" s="225">
        <f t="shared" si="77"/>
        <v>0.41063426007005255</v>
      </c>
      <c r="V113" s="225">
        <f t="shared" si="78"/>
        <v>0.35230650006644632</v>
      </c>
      <c r="W113" s="225">
        <f t="shared" si="79"/>
        <v>0.33986532801599872</v>
      </c>
      <c r="X113" s="207"/>
      <c r="Y113" s="222"/>
      <c r="Z113" s="225">
        <f t="shared" si="80"/>
        <v>-0.187867454694573</v>
      </c>
      <c r="AA113" s="225">
        <f t="shared" si="81"/>
        <v>-0.18457054129689188</v>
      </c>
      <c r="AB113" s="225">
        <f t="shared" si="82"/>
        <v>0.36431515441132545</v>
      </c>
      <c r="AC113" s="225">
        <f t="shared" si="83"/>
        <v>0.60138041352889671</v>
      </c>
      <c r="AD113" s="225">
        <f t="shared" si="84"/>
        <v>-3.421406673833749E-2</v>
      </c>
      <c r="AE113" s="207"/>
    </row>
    <row r="114" spans="1:34" ht="15" customHeight="1">
      <c r="B114" s="230">
        <f t="shared" si="85"/>
        <v>6</v>
      </c>
      <c r="C114" s="203" t="s">
        <v>317</v>
      </c>
      <c r="D114" s="228">
        <f t="shared" si="72"/>
        <v>22.575749999999999</v>
      </c>
      <c r="E114" s="227">
        <f t="shared" si="72"/>
        <v>19.248568278269499</v>
      </c>
      <c r="F114" s="227">
        <f t="shared" si="72"/>
        <v>31.582775167470899</v>
      </c>
      <c r="G114" s="227">
        <f t="shared" si="72"/>
        <v>38.866846190059199</v>
      </c>
      <c r="H114" s="227">
        <f t="shared" si="72"/>
        <v>30.597860000000004</v>
      </c>
      <c r="I114" s="226">
        <f t="shared" si="72"/>
        <v>28.771251200000002</v>
      </c>
      <c r="J114" s="200"/>
      <c r="K114" s="227">
        <f t="shared" si="73"/>
        <v>2.0239927499999997</v>
      </c>
      <c r="L114" s="227">
        <f t="shared" si="73"/>
        <v>2.1839801200000002</v>
      </c>
      <c r="M114" s="227">
        <f t="shared" si="73"/>
        <v>4.7858758286781615</v>
      </c>
      <c r="N114" s="227">
        <f t="shared" si="73"/>
        <v>7.7410802990080398</v>
      </c>
      <c r="O114" s="227">
        <f t="shared" si="73"/>
        <v>5.1688600000000005</v>
      </c>
      <c r="P114" s="226">
        <f t="shared" si="73"/>
        <v>5.1695834136769392</v>
      </c>
      <c r="R114" s="225">
        <f t="shared" si="74"/>
        <v>8.9653400219261811E-2</v>
      </c>
      <c r="S114" s="225">
        <f t="shared" si="75"/>
        <v>0.11346195147748132</v>
      </c>
      <c r="T114" s="225">
        <f t="shared" si="76"/>
        <v>0.15153436654317312</v>
      </c>
      <c r="U114" s="225">
        <f t="shared" si="77"/>
        <v>0.19916924211329351</v>
      </c>
      <c r="V114" s="225">
        <f t="shared" si="78"/>
        <v>0.16892880743947453</v>
      </c>
      <c r="W114" s="225">
        <f t="shared" si="79"/>
        <v>0.17967878344049698</v>
      </c>
      <c r="X114" s="207"/>
      <c r="Y114" s="222"/>
      <c r="Z114" s="225">
        <f t="shared" si="80"/>
        <v>-0.1473785686734882</v>
      </c>
      <c r="AA114" s="225">
        <f t="shared" si="81"/>
        <v>0.64078567875232539</v>
      </c>
      <c r="AB114" s="225">
        <f t="shared" si="82"/>
        <v>0.23063429302725202</v>
      </c>
      <c r="AC114" s="225">
        <f t="shared" si="83"/>
        <v>-0.21275166370905896</v>
      </c>
      <c r="AD114" s="225">
        <f t="shared" si="84"/>
        <v>-5.9697272946539481E-2</v>
      </c>
      <c r="AE114" s="207"/>
    </row>
    <row r="115" spans="1:34" ht="15" customHeight="1">
      <c r="B115" s="230">
        <f t="shared" si="85"/>
        <v>7</v>
      </c>
      <c r="C115" s="203" t="s">
        <v>318</v>
      </c>
      <c r="D115" s="228">
        <f t="shared" si="72"/>
        <v>36.814999999999998</v>
      </c>
      <c r="E115" s="227">
        <f t="shared" si="72"/>
        <v>29.713000000000001</v>
      </c>
      <c r="F115" s="227">
        <f t="shared" si="72"/>
        <v>27.454999999999998</v>
      </c>
      <c r="G115" s="227">
        <f t="shared" si="72"/>
        <v>31.179000000000002</v>
      </c>
      <c r="H115" s="227">
        <f t="shared" si="72"/>
        <v>29.80718912</v>
      </c>
      <c r="I115" s="226">
        <f t="shared" si="72"/>
        <v>31.075136835199999</v>
      </c>
      <c r="J115" s="200"/>
      <c r="K115" s="227">
        <f t="shared" si="73"/>
        <v>6.7164999999999999</v>
      </c>
      <c r="L115" s="227">
        <f t="shared" si="73"/>
        <v>6.1509999999999998</v>
      </c>
      <c r="M115" s="227">
        <f t="shared" si="73"/>
        <v>6.9539999999999997</v>
      </c>
      <c r="N115" s="227">
        <f t="shared" si="73"/>
        <v>7.6920080000000013</v>
      </c>
      <c r="O115" s="227">
        <f t="shared" si="73"/>
        <v>7.8100655400000001</v>
      </c>
      <c r="P115" s="226">
        <f t="shared" si="73"/>
        <v>8.0246764288689469</v>
      </c>
      <c r="R115" s="225">
        <f t="shared" si="74"/>
        <v>0.18243922314274075</v>
      </c>
      <c r="S115" s="225">
        <f t="shared" si="75"/>
        <v>0.20701376501867869</v>
      </c>
      <c r="T115" s="225">
        <f t="shared" si="76"/>
        <v>0.2532871972318339</v>
      </c>
      <c r="U115" s="225">
        <f t="shared" si="77"/>
        <v>0.24670476923570353</v>
      </c>
      <c r="V115" s="225">
        <f t="shared" si="78"/>
        <v>0.26201952517420068</v>
      </c>
      <c r="W115" s="225">
        <f t="shared" si="79"/>
        <v>0.25823462890689797</v>
      </c>
      <c r="X115" s="207"/>
      <c r="Y115" s="222"/>
      <c r="Z115" s="225">
        <f t="shared" si="80"/>
        <v>-0.19291049843813657</v>
      </c>
      <c r="AA115" s="225">
        <f t="shared" si="81"/>
        <v>-7.599367280315017E-2</v>
      </c>
      <c r="AB115" s="225">
        <f t="shared" si="82"/>
        <v>0.13564013840830458</v>
      </c>
      <c r="AC115" s="225">
        <f t="shared" si="83"/>
        <v>-4.3997911414734303E-2</v>
      </c>
      <c r="AD115" s="225">
        <f t="shared" si="84"/>
        <v>4.253831886312387E-2</v>
      </c>
      <c r="AE115" s="207"/>
    </row>
    <row r="116" spans="1:34" ht="15" customHeight="1">
      <c r="B116" s="230">
        <f t="shared" si="85"/>
        <v>8</v>
      </c>
      <c r="C116" s="203" t="s">
        <v>319</v>
      </c>
      <c r="D116" s="229">
        <f t="shared" si="72"/>
        <v>13.9155</v>
      </c>
      <c r="E116" s="226">
        <f t="shared" si="72"/>
        <v>21.7</v>
      </c>
      <c r="F116" s="226">
        <f t="shared" si="72"/>
        <v>23.113</v>
      </c>
      <c r="G116" s="226">
        <f t="shared" si="72"/>
        <v>23.248000000000001</v>
      </c>
      <c r="H116" s="226">
        <f t="shared" si="72"/>
        <v>27.656216140000002</v>
      </c>
      <c r="I116" s="226">
        <f t="shared" si="72"/>
        <v>28.815613765600002</v>
      </c>
      <c r="J116" s="200"/>
      <c r="K116" s="226">
        <f t="shared" si="73"/>
        <v>5.8630000000000004</v>
      </c>
      <c r="L116" s="226">
        <f t="shared" si="73"/>
        <v>10.474</v>
      </c>
      <c r="M116" s="226">
        <f t="shared" si="73"/>
        <v>9.2910000000000004</v>
      </c>
      <c r="N116" s="226">
        <f t="shared" si="73"/>
        <v>8.8669999999999991</v>
      </c>
      <c r="O116" s="226">
        <f t="shared" si="73"/>
        <v>9.2875485403800013</v>
      </c>
      <c r="P116" s="226">
        <f t="shared" si="73"/>
        <v>9.2941336634099994</v>
      </c>
      <c r="R116" s="225">
        <f t="shared" si="74"/>
        <v>0.42132873414537747</v>
      </c>
      <c r="S116" s="225">
        <f t="shared" si="75"/>
        <v>0.48267281105990784</v>
      </c>
      <c r="T116" s="225">
        <f t="shared" si="76"/>
        <v>0.40198156881408731</v>
      </c>
      <c r="U116" s="225">
        <f t="shared" si="77"/>
        <v>0.38140915347556775</v>
      </c>
      <c r="V116" s="225">
        <f t="shared" si="78"/>
        <v>0.33582137532354422</v>
      </c>
      <c r="W116" s="225">
        <f t="shared" si="79"/>
        <v>0.32253811211563743</v>
      </c>
      <c r="X116" s="207"/>
      <c r="Y116" s="222"/>
      <c r="Z116" s="225">
        <f t="shared" si="80"/>
        <v>0.55941216628938961</v>
      </c>
      <c r="AA116" s="225">
        <f t="shared" si="81"/>
        <v>6.5115207373271922E-2</v>
      </c>
      <c r="AB116" s="225">
        <f t="shared" si="82"/>
        <v>5.8408687751483335E-3</v>
      </c>
      <c r="AC116" s="225">
        <f t="shared" si="83"/>
        <v>0.18961700533379222</v>
      </c>
      <c r="AD116" s="225">
        <f t="shared" si="84"/>
        <v>4.1921773381107252E-2</v>
      </c>
      <c r="AE116" s="207"/>
    </row>
    <row r="117" spans="1:34" ht="15" customHeight="1">
      <c r="B117" s="230">
        <f t="shared" si="85"/>
        <v>9</v>
      </c>
      <c r="C117" s="203" t="s">
        <v>320</v>
      </c>
      <c r="D117" s="228">
        <f t="shared" si="72"/>
        <v>6.1857000000000006</v>
      </c>
      <c r="E117" s="227">
        <f t="shared" si="72"/>
        <v>14.076000000000001</v>
      </c>
      <c r="F117" s="227">
        <f t="shared" si="72"/>
        <v>18.816000000000003</v>
      </c>
      <c r="G117" s="227">
        <f t="shared" si="72"/>
        <v>22.593</v>
      </c>
      <c r="H117" s="227">
        <f t="shared" si="72"/>
        <v>21.278719639999998</v>
      </c>
      <c r="I117" s="226">
        <f t="shared" si="72"/>
        <v>20.812178215600003</v>
      </c>
      <c r="J117" s="200"/>
      <c r="K117" s="227">
        <f t="shared" si="73"/>
        <v>1.7362584000000001</v>
      </c>
      <c r="L117" s="227">
        <f t="shared" si="73"/>
        <v>2.7989999999999999</v>
      </c>
      <c r="M117" s="227">
        <f t="shared" si="73"/>
        <v>2.78</v>
      </c>
      <c r="N117" s="227">
        <f t="shared" si="73"/>
        <v>1.9119999999999999</v>
      </c>
      <c r="O117" s="227">
        <f t="shared" si="73"/>
        <v>2.87986283</v>
      </c>
      <c r="P117" s="226">
        <f t="shared" si="73"/>
        <v>2.9549948619473687</v>
      </c>
      <c r="R117" s="225">
        <f t="shared" si="74"/>
        <v>0.28068907318492653</v>
      </c>
      <c r="S117" s="225">
        <f t="shared" si="75"/>
        <v>0.19884910485933502</v>
      </c>
      <c r="T117" s="225">
        <f t="shared" si="76"/>
        <v>0.14774659863945575</v>
      </c>
      <c r="U117" s="225">
        <f t="shared" si="77"/>
        <v>8.4627982118355233E-2</v>
      </c>
      <c r="V117" s="225">
        <f t="shared" si="78"/>
        <v>0.13534004295006541</v>
      </c>
      <c r="W117" s="225">
        <f t="shared" si="79"/>
        <v>0.14198393033807577</v>
      </c>
      <c r="X117" s="207"/>
      <c r="Y117" s="222"/>
      <c r="Z117" s="225">
        <f t="shared" si="80"/>
        <v>1.2755710752218827</v>
      </c>
      <c r="AA117" s="225">
        <f t="shared" si="81"/>
        <v>0.33674339300937772</v>
      </c>
      <c r="AB117" s="225">
        <f t="shared" si="82"/>
        <v>0.20073341836734682</v>
      </c>
      <c r="AC117" s="225">
        <f t="shared" si="83"/>
        <v>-5.8172016111184943E-2</v>
      </c>
      <c r="AD117" s="225">
        <f t="shared" si="84"/>
        <v>-2.1925258299986483E-2</v>
      </c>
      <c r="AE117" s="207"/>
    </row>
    <row r="118" spans="1:34" ht="15" customHeight="1">
      <c r="B118" s="230">
        <f t="shared" si="85"/>
        <v>10</v>
      </c>
      <c r="C118" s="203" t="s">
        <v>321</v>
      </c>
      <c r="D118" s="228">
        <f t="shared" si="72"/>
        <v>11.05165</v>
      </c>
      <c r="E118" s="227">
        <f t="shared" si="72"/>
        <v>12.54550175</v>
      </c>
      <c r="F118" s="227">
        <f t="shared" si="72"/>
        <v>19.102759840000001</v>
      </c>
      <c r="G118" s="227">
        <f t="shared" si="72"/>
        <v>16.641831270000001</v>
      </c>
      <c r="H118" s="227">
        <f t="shared" si="72"/>
        <v>16.607478</v>
      </c>
      <c r="I118" s="226">
        <f t="shared" si="72"/>
        <v>15.315158480000003</v>
      </c>
      <c r="J118" s="200"/>
      <c r="K118" s="227">
        <f t="shared" si="73"/>
        <v>3.5988799999999994</v>
      </c>
      <c r="L118" s="227">
        <f t="shared" si="73"/>
        <v>2.6987723037499998</v>
      </c>
      <c r="M118" s="227">
        <f t="shared" si="73"/>
        <v>3.7467067268000003</v>
      </c>
      <c r="N118" s="227">
        <f t="shared" si="73"/>
        <v>3.3632233841499999</v>
      </c>
      <c r="O118" s="227">
        <f t="shared" si="73"/>
        <v>4.0335779599999988</v>
      </c>
      <c r="P118" s="226">
        <f t="shared" si="73"/>
        <v>3.1838675966440899</v>
      </c>
      <c r="R118" s="225">
        <f t="shared" si="74"/>
        <v>0.32564187248057974</v>
      </c>
      <c r="S118" s="225">
        <f t="shared" si="75"/>
        <v>0.21511872203517088</v>
      </c>
      <c r="T118" s="225">
        <f t="shared" si="76"/>
        <v>0.196134315574372</v>
      </c>
      <c r="U118" s="225">
        <f t="shared" si="77"/>
        <v>0.20209454894623502</v>
      </c>
      <c r="V118" s="225">
        <f t="shared" si="78"/>
        <v>0.24287721230159082</v>
      </c>
      <c r="W118" s="225">
        <f t="shared" si="79"/>
        <v>0.20788995430911725</v>
      </c>
      <c r="X118" s="207"/>
      <c r="Y118" s="222"/>
      <c r="Z118" s="225">
        <f t="shared" si="80"/>
        <v>0.13517001986128752</v>
      </c>
      <c r="AA118" s="225">
        <f t="shared" si="81"/>
        <v>0.5226780260103987</v>
      </c>
      <c r="AB118" s="225">
        <f t="shared" si="82"/>
        <v>-0.12882581316061814</v>
      </c>
      <c r="AC118" s="225">
        <f t="shared" si="83"/>
        <v>-2.0642722211664521E-3</v>
      </c>
      <c r="AD118" s="225">
        <f t="shared" si="84"/>
        <v>-7.7815519008966771E-2</v>
      </c>
      <c r="AE118" s="207"/>
    </row>
    <row r="119" spans="1:34" ht="15" customHeight="1">
      <c r="B119" s="230">
        <f t="shared" si="85"/>
        <v>11</v>
      </c>
      <c r="C119" s="203" t="s">
        <v>322</v>
      </c>
      <c r="D119" s="228">
        <f t="shared" si="72"/>
        <v>3.645562</v>
      </c>
      <c r="E119" s="227">
        <f t="shared" si="72"/>
        <v>2.9669539999999999</v>
      </c>
      <c r="F119" s="227">
        <f t="shared" si="72"/>
        <v>7.0609999999999999</v>
      </c>
      <c r="G119" s="227">
        <f t="shared" si="72"/>
        <v>10.363999999999999</v>
      </c>
      <c r="H119" s="227">
        <f t="shared" si="72"/>
        <v>16.672194000000001</v>
      </c>
      <c r="I119" s="226">
        <f t="shared" si="72"/>
        <v>24.623386840000002</v>
      </c>
      <c r="J119" s="200"/>
      <c r="K119" s="227">
        <f t="shared" si="73"/>
        <v>1.0572109300000001</v>
      </c>
      <c r="L119" s="227">
        <f t="shared" si="73"/>
        <v>0.85999999999999988</v>
      </c>
      <c r="M119" s="227">
        <f t="shared" si="73"/>
        <v>2.048</v>
      </c>
      <c r="N119" s="227">
        <f t="shared" si="73"/>
        <v>3.0060000000000002</v>
      </c>
      <c r="O119" s="227">
        <f t="shared" si="73"/>
        <v>4.3508247000000004</v>
      </c>
      <c r="P119" s="226">
        <f t="shared" si="73"/>
        <v>6.3773200822885521</v>
      </c>
      <c r="R119" s="225">
        <f t="shared" si="74"/>
        <v>0.28999943767243574</v>
      </c>
      <c r="S119" s="225">
        <f t="shared" si="75"/>
        <v>0.28985956641053412</v>
      </c>
      <c r="T119" s="225">
        <f t="shared" si="76"/>
        <v>0.29004390312986827</v>
      </c>
      <c r="U119" s="225">
        <f t="shared" si="77"/>
        <v>0.29004245465071404</v>
      </c>
      <c r="V119" s="225">
        <f t="shared" si="78"/>
        <v>0.26096293625182143</v>
      </c>
      <c r="W119" s="225">
        <f t="shared" si="79"/>
        <v>0.2589944317460332</v>
      </c>
      <c r="X119" s="207"/>
      <c r="Y119" s="222"/>
      <c r="Z119" s="225">
        <f t="shared" si="80"/>
        <v>-0.18614633354198884</v>
      </c>
      <c r="AA119" s="225">
        <f t="shared" si="81"/>
        <v>1.3798818586334671</v>
      </c>
      <c r="AB119" s="225">
        <f t="shared" si="82"/>
        <v>0.46778076759665765</v>
      </c>
      <c r="AC119" s="225">
        <f t="shared" si="83"/>
        <v>0.60866402933230446</v>
      </c>
      <c r="AD119" s="225">
        <f t="shared" si="84"/>
        <v>0.47691340683775629</v>
      </c>
      <c r="AE119" s="207"/>
    </row>
    <row r="120" spans="1:34" ht="15" customHeight="1">
      <c r="B120" s="230">
        <f t="shared" si="85"/>
        <v>12</v>
      </c>
      <c r="C120" s="203" t="s">
        <v>323</v>
      </c>
      <c r="D120" s="228">
        <f t="shared" si="72"/>
        <v>7.4032500000000008</v>
      </c>
      <c r="E120" s="227">
        <f t="shared" si="72"/>
        <v>4.1902499999999998</v>
      </c>
      <c r="F120" s="227">
        <f t="shared" si="72"/>
        <v>8.1344999999999992</v>
      </c>
      <c r="G120" s="227">
        <f t="shared" si="72"/>
        <v>9.7725000000000009</v>
      </c>
      <c r="H120" s="227">
        <f t="shared" si="72"/>
        <v>11.432170000000001</v>
      </c>
      <c r="I120" s="226">
        <f t="shared" si="72"/>
        <v>11.851752700000002</v>
      </c>
      <c r="J120" s="200"/>
      <c r="K120" s="227">
        <f t="shared" si="73"/>
        <v>1.1104874999999998</v>
      </c>
      <c r="L120" s="227">
        <f t="shared" si="73"/>
        <v>0.62853749999999997</v>
      </c>
      <c r="M120" s="227">
        <f t="shared" si="73"/>
        <v>2.44035</v>
      </c>
      <c r="N120" s="227">
        <f t="shared" si="73"/>
        <v>2.9317500000000001</v>
      </c>
      <c r="O120" s="227">
        <f t="shared" si="73"/>
        <v>3.0326950000000004</v>
      </c>
      <c r="P120" s="226">
        <f t="shared" si="73"/>
        <v>3.1115691642825509</v>
      </c>
      <c r="R120" s="225">
        <f t="shared" si="74"/>
        <v>0.14999999999999997</v>
      </c>
      <c r="S120" s="225">
        <f t="shared" si="75"/>
        <v>0.15</v>
      </c>
      <c r="T120" s="225">
        <f t="shared" si="76"/>
        <v>0.30000000000000004</v>
      </c>
      <c r="U120" s="225">
        <f t="shared" si="77"/>
        <v>0.3</v>
      </c>
      <c r="V120" s="225">
        <f t="shared" si="78"/>
        <v>0.26527728331541606</v>
      </c>
      <c r="W120" s="225">
        <f t="shared" si="79"/>
        <v>0.26254084463663763</v>
      </c>
      <c r="X120" s="207"/>
      <c r="Y120" s="222"/>
      <c r="Z120" s="225">
        <f t="shared" si="80"/>
        <v>-0.43399858170398142</v>
      </c>
      <c r="AA120" s="225">
        <f t="shared" si="81"/>
        <v>0.94129228566314649</v>
      </c>
      <c r="AB120" s="225">
        <f t="shared" si="82"/>
        <v>0.20136455836253009</v>
      </c>
      <c r="AC120" s="225">
        <f t="shared" si="83"/>
        <v>0.16983064722435404</v>
      </c>
      <c r="AD120" s="225">
        <f t="shared" si="84"/>
        <v>3.6701929729876515E-2</v>
      </c>
      <c r="AE120" s="207"/>
    </row>
    <row r="121" spans="1:34" ht="15" customHeight="1">
      <c r="B121" s="230">
        <f t="shared" si="85"/>
        <v>13</v>
      </c>
      <c r="C121" s="203" t="s">
        <v>324</v>
      </c>
      <c r="D121" s="228">
        <f t="shared" si="72"/>
        <v>0.27675</v>
      </c>
      <c r="E121" s="227">
        <f t="shared" si="72"/>
        <v>0.55574999999999997</v>
      </c>
      <c r="F121" s="227">
        <f t="shared" si="72"/>
        <v>1.6575</v>
      </c>
      <c r="G121" s="227">
        <f t="shared" si="72"/>
        <v>8.3092499999999987</v>
      </c>
      <c r="H121" s="227">
        <f t="shared" si="72"/>
        <v>5.915</v>
      </c>
      <c r="I121" s="226">
        <f t="shared" si="72"/>
        <v>7.8456500000000009</v>
      </c>
      <c r="J121" s="200"/>
      <c r="K121" s="227">
        <f t="shared" si="73"/>
        <v>4.1512500000000001E-2</v>
      </c>
      <c r="L121" s="227">
        <f t="shared" si="73"/>
        <v>8.3362499999999992E-2</v>
      </c>
      <c r="M121" s="227">
        <f t="shared" si="73"/>
        <v>0.24862500000000001</v>
      </c>
      <c r="N121" s="227">
        <f t="shared" si="73"/>
        <v>1.2463875</v>
      </c>
      <c r="O121" s="227">
        <f t="shared" si="73"/>
        <v>0.69329999999999992</v>
      </c>
      <c r="P121" s="226">
        <f t="shared" si="73"/>
        <v>0.80796299999999999</v>
      </c>
      <c r="R121" s="225">
        <f t="shared" si="74"/>
        <v>0.15</v>
      </c>
      <c r="S121" s="225">
        <f t="shared" si="75"/>
        <v>0.15</v>
      </c>
      <c r="T121" s="225">
        <f t="shared" si="76"/>
        <v>0.15000000000000002</v>
      </c>
      <c r="U121" s="225">
        <f t="shared" si="77"/>
        <v>0.15000000000000002</v>
      </c>
      <c r="V121" s="225">
        <f t="shared" si="78"/>
        <v>0.11721048182586642</v>
      </c>
      <c r="W121" s="225">
        <f t="shared" si="79"/>
        <v>0.10298228954898574</v>
      </c>
      <c r="X121" s="207"/>
      <c r="Y121" s="222"/>
      <c r="Z121" s="225">
        <f t="shared" si="80"/>
        <v>1.0081300813008127</v>
      </c>
      <c r="AA121" s="225">
        <f t="shared" si="81"/>
        <v>1.9824561403508771</v>
      </c>
      <c r="AB121" s="225">
        <f t="shared" si="82"/>
        <v>4.0131221719457004</v>
      </c>
      <c r="AC121" s="225">
        <f t="shared" si="83"/>
        <v>-0.28814273249691602</v>
      </c>
      <c r="AD121" s="225">
        <f t="shared" si="84"/>
        <v>0.32639898562975511</v>
      </c>
      <c r="AE121" s="207"/>
    </row>
    <row r="122" spans="1:34" ht="15" customHeight="1">
      <c r="B122" s="230">
        <f t="shared" si="85"/>
        <v>14</v>
      </c>
      <c r="C122" s="203" t="s">
        <v>325</v>
      </c>
      <c r="D122" s="228">
        <f t="shared" si="72"/>
        <v>7.7662500000000003</v>
      </c>
      <c r="E122" s="227">
        <f t="shared" si="72"/>
        <v>10.280249999999999</v>
      </c>
      <c r="F122" s="227">
        <f t="shared" si="72"/>
        <v>6.8947500000000002</v>
      </c>
      <c r="G122" s="227">
        <f t="shared" si="72"/>
        <v>6.4432499999999999</v>
      </c>
      <c r="H122" s="227">
        <f t="shared" si="72"/>
        <v>17.151999999999997</v>
      </c>
      <c r="I122" s="226">
        <f t="shared" si="72"/>
        <v>18.274283000000004</v>
      </c>
      <c r="J122" s="200"/>
      <c r="K122" s="227">
        <f t="shared" si="73"/>
        <v>1.2425999999999999</v>
      </c>
      <c r="L122" s="227">
        <f t="shared" si="73"/>
        <v>1.23363</v>
      </c>
      <c r="M122" s="227">
        <f t="shared" si="73"/>
        <v>0.96526500000000015</v>
      </c>
      <c r="N122" s="227">
        <f t="shared" si="73"/>
        <v>0.96648750000000005</v>
      </c>
      <c r="O122" s="227">
        <f t="shared" si="73"/>
        <v>3.4891479999999997</v>
      </c>
      <c r="P122" s="226">
        <f t="shared" si="73"/>
        <v>3.7134625468107365</v>
      </c>
      <c r="R122" s="225">
        <f t="shared" si="74"/>
        <v>0.15999999999999998</v>
      </c>
      <c r="S122" s="225">
        <f t="shared" si="75"/>
        <v>0.12000000000000001</v>
      </c>
      <c r="T122" s="225">
        <f t="shared" si="76"/>
        <v>0.14000000000000001</v>
      </c>
      <c r="U122" s="225">
        <f t="shared" si="77"/>
        <v>0.15000000000000002</v>
      </c>
      <c r="V122" s="225">
        <f t="shared" si="78"/>
        <v>0.20342513992537314</v>
      </c>
      <c r="W122" s="225">
        <f t="shared" si="79"/>
        <v>0.20320701757824017</v>
      </c>
      <c r="X122" s="207"/>
      <c r="Y122" s="222"/>
      <c r="Z122" s="225">
        <f t="shared" si="80"/>
        <v>0.32370835345243831</v>
      </c>
      <c r="AA122" s="225">
        <f t="shared" si="81"/>
        <v>-0.32932078500036466</v>
      </c>
      <c r="AB122" s="225">
        <f t="shared" si="82"/>
        <v>-6.5484607853801835E-2</v>
      </c>
      <c r="AC122" s="225">
        <f t="shared" si="83"/>
        <v>1.6620106312807974</v>
      </c>
      <c r="AD122" s="225">
        <f t="shared" si="84"/>
        <v>6.543161147388088E-2</v>
      </c>
      <c r="AE122" s="207"/>
    </row>
    <row r="123" spans="1:34" ht="15" customHeight="1">
      <c r="B123" s="230">
        <f t="shared" si="85"/>
        <v>15</v>
      </c>
      <c r="C123" s="203" t="s">
        <v>326</v>
      </c>
      <c r="D123" s="229">
        <f t="shared" si="72"/>
        <v>1.708</v>
      </c>
      <c r="E123" s="226">
        <f t="shared" si="72"/>
        <v>3.2389999999999999</v>
      </c>
      <c r="F123" s="226">
        <f t="shared" si="72"/>
        <v>4.2540000000000004</v>
      </c>
      <c r="G123" s="226">
        <f t="shared" si="72"/>
        <v>5.2570000000000006</v>
      </c>
      <c r="H123" s="226">
        <f t="shared" si="72"/>
        <v>6.7792210000000006</v>
      </c>
      <c r="I123" s="226">
        <f t="shared" si="72"/>
        <v>7.833280600000001</v>
      </c>
      <c r="J123" s="200"/>
      <c r="K123" s="226">
        <f t="shared" si="73"/>
        <v>1.0129999999999999</v>
      </c>
      <c r="L123" s="226">
        <f t="shared" si="73"/>
        <v>1.98</v>
      </c>
      <c r="M123" s="226">
        <f t="shared" si="73"/>
        <v>2.1879999999999997</v>
      </c>
      <c r="N123" s="226">
        <f t="shared" si="73"/>
        <v>2.3430000000000004</v>
      </c>
      <c r="O123" s="226">
        <f t="shared" si="73"/>
        <v>2.5456345100000015</v>
      </c>
      <c r="P123" s="226">
        <f t="shared" si="73"/>
        <v>3.2550429133333338</v>
      </c>
      <c r="R123" s="225">
        <f t="shared" si="74"/>
        <v>0.59309133489461352</v>
      </c>
      <c r="S123" s="225">
        <f t="shared" si="75"/>
        <v>0.61129978388391482</v>
      </c>
      <c r="T123" s="225">
        <f t="shared" si="76"/>
        <v>0.51433944522802055</v>
      </c>
      <c r="U123" s="225">
        <f t="shared" si="77"/>
        <v>0.44569145900703827</v>
      </c>
      <c r="V123" s="225">
        <f t="shared" si="78"/>
        <v>0.37550546146821312</v>
      </c>
      <c r="W123" s="225">
        <f t="shared" si="79"/>
        <v>0.41554019057268721</v>
      </c>
      <c r="X123" s="207"/>
      <c r="Y123" s="222"/>
      <c r="Z123" s="225">
        <f t="shared" si="80"/>
        <v>0.8963700234192038</v>
      </c>
      <c r="AA123" s="225">
        <f t="shared" si="81"/>
        <v>0.31336832355665356</v>
      </c>
      <c r="AB123" s="225">
        <f t="shared" si="82"/>
        <v>0.23577809120827453</v>
      </c>
      <c r="AC123" s="225">
        <f t="shared" si="83"/>
        <v>0.28956077610804631</v>
      </c>
      <c r="AD123" s="225">
        <f t="shared" si="84"/>
        <v>0.15548388229267052</v>
      </c>
      <c r="AE123" s="207"/>
    </row>
    <row r="124" spans="1:34" s="188" customFormat="1" ht="15" customHeight="1">
      <c r="B124" s="221"/>
      <c r="C124" s="221" t="s">
        <v>373</v>
      </c>
      <c r="D124" s="220">
        <f t="shared" ref="D124:I124" si="86">SUM(D109:D123)</f>
        <v>397.61426699999998</v>
      </c>
      <c r="E124" s="219">
        <f t="shared" si="86"/>
        <v>409.15368902826953</v>
      </c>
      <c r="F124" s="219">
        <f t="shared" si="86"/>
        <v>612.50628500747109</v>
      </c>
      <c r="G124" s="219">
        <f t="shared" si="86"/>
        <v>631.83233346005932</v>
      </c>
      <c r="H124" s="219">
        <f t="shared" si="86"/>
        <v>642.49892495000006</v>
      </c>
      <c r="I124" s="219">
        <f t="shared" si="86"/>
        <v>658.44648992617101</v>
      </c>
      <c r="J124" s="200"/>
      <c r="K124" s="219">
        <f t="shared" ref="K124:P124" si="87">SUM(K109:K123)</f>
        <v>79.336854589999987</v>
      </c>
      <c r="L124" s="219">
        <f t="shared" si="87"/>
        <v>77.496430423750027</v>
      </c>
      <c r="M124" s="219">
        <f t="shared" si="87"/>
        <v>97.508822555478147</v>
      </c>
      <c r="N124" s="219">
        <f t="shared" si="87"/>
        <v>110.14327568315807</v>
      </c>
      <c r="O124" s="219">
        <f t="shared" si="87"/>
        <v>114.22168203037994</v>
      </c>
      <c r="P124" s="219">
        <f t="shared" ca="1" si="87"/>
        <v>121.41673836916999</v>
      </c>
      <c r="Q124" s="186"/>
      <c r="R124" s="217">
        <f t="shared" si="74"/>
        <v>0.19953221293741955</v>
      </c>
      <c r="S124" s="217">
        <f t="shared" si="75"/>
        <v>0.18940665207688154</v>
      </c>
      <c r="T124" s="217">
        <f t="shared" si="76"/>
        <v>0.15919644408920436</v>
      </c>
      <c r="U124" s="217">
        <f t="shared" si="77"/>
        <v>0.17432358214399718</v>
      </c>
      <c r="V124" s="217">
        <f t="shared" si="78"/>
        <v>0.17777723447439042</v>
      </c>
      <c r="W124" s="217">
        <f t="shared" ca="1" si="79"/>
        <v>0.18439879356450661</v>
      </c>
      <c r="X124" s="207"/>
      <c r="Y124" s="218"/>
      <c r="Z124" s="217">
        <f t="shared" si="80"/>
        <v>2.9021649840018204E-2</v>
      </c>
      <c r="AA124" s="217">
        <f t="shared" si="81"/>
        <v>0.49700785165144001</v>
      </c>
      <c r="AB124" s="217">
        <f t="shared" si="82"/>
        <v>3.1552408400760346E-2</v>
      </c>
      <c r="AC124" s="217">
        <f t="shared" si="83"/>
        <v>1.6881996892321061E-2</v>
      </c>
      <c r="AD124" s="217">
        <f t="shared" si="84"/>
        <v>2.4821154334868423E-2</v>
      </c>
      <c r="AE124" s="207"/>
      <c r="AH124" s="216"/>
    </row>
    <row r="125" spans="1:34" s="212" customFormat="1" ht="15" customHeight="1">
      <c r="A125" s="205"/>
      <c r="B125" s="205"/>
      <c r="C125" s="205" t="s">
        <v>304</v>
      </c>
      <c r="D125" s="215"/>
      <c r="E125" s="213">
        <f>E124/D124-1</f>
        <v>2.9021649840018204E-2</v>
      </c>
      <c r="F125" s="213">
        <f>F124/E124-1</f>
        <v>0.49700785165144001</v>
      </c>
      <c r="G125" s="213">
        <f>G124/F124-1</f>
        <v>3.1552408400760346E-2</v>
      </c>
      <c r="H125" s="213">
        <f>H124/G124-1</f>
        <v>1.6881996892321061E-2</v>
      </c>
      <c r="I125" s="213">
        <f>I124/H124-1</f>
        <v>2.4821154334868423E-2</v>
      </c>
      <c r="J125" s="207"/>
      <c r="K125" s="215"/>
      <c r="L125" s="213">
        <f>L124/K124-1</f>
        <v>-2.3197594305458313E-2</v>
      </c>
      <c r="M125" s="213">
        <f>M124/L124-1</f>
        <v>0.25823630872158221</v>
      </c>
      <c r="N125" s="213">
        <f>N124/M124-1</f>
        <v>0.12957240992722974</v>
      </c>
      <c r="O125" s="213">
        <f>O124/N124-1</f>
        <v>3.7028191888481388E-2</v>
      </c>
      <c r="P125" s="213">
        <f ca="1">P124/O124-1</f>
        <v>6.2992036283237018E-2</v>
      </c>
      <c r="Q125" s="207"/>
      <c r="R125" s="214"/>
      <c r="S125" s="213"/>
      <c r="T125" s="213"/>
      <c r="U125" s="213"/>
      <c r="V125" s="213"/>
      <c r="W125" s="213"/>
      <c r="X125" s="207"/>
      <c r="Y125" s="222"/>
      <c r="Z125" s="225"/>
      <c r="AA125" s="225"/>
      <c r="AB125" s="225"/>
      <c r="AC125" s="225"/>
      <c r="AD125" s="225"/>
      <c r="AE125" s="207"/>
      <c r="AH125" s="193"/>
    </row>
    <row r="126" spans="1:34" s="189" customFormat="1" ht="5.25" customHeight="1">
      <c r="A126" s="196"/>
      <c r="B126" s="196"/>
      <c r="C126" s="196"/>
      <c r="D126" s="223"/>
      <c r="E126" s="213"/>
      <c r="F126" s="213"/>
      <c r="G126" s="213"/>
      <c r="H126" s="213"/>
      <c r="I126" s="213"/>
      <c r="J126" s="186"/>
      <c r="K126" s="223"/>
      <c r="L126" s="213"/>
      <c r="M126" s="213"/>
      <c r="N126" s="213"/>
      <c r="O126" s="213"/>
      <c r="P126" s="213"/>
      <c r="Q126" s="186"/>
      <c r="R126" s="214"/>
      <c r="S126" s="213"/>
      <c r="T126" s="213"/>
      <c r="U126" s="213"/>
      <c r="V126" s="213"/>
      <c r="W126" s="213"/>
      <c r="X126" s="207"/>
      <c r="Y126" s="222"/>
      <c r="Z126" s="225"/>
      <c r="AA126" s="225"/>
      <c r="AB126" s="225"/>
      <c r="AC126" s="225"/>
      <c r="AD126" s="225"/>
      <c r="AE126" s="207"/>
      <c r="AH126" s="193"/>
    </row>
    <row r="127" spans="1:34" s="189" customFormat="1" ht="15" customHeight="1">
      <c r="A127" s="196"/>
      <c r="B127" s="196"/>
      <c r="C127" s="186" t="s">
        <v>374</v>
      </c>
      <c r="D127" s="228">
        <f t="shared" ref="D127:I127" si="88">SUM(D27,D52,D102,D77)</f>
        <v>494.88334979000035</v>
      </c>
      <c r="E127" s="227">
        <f t="shared" si="88"/>
        <v>496.31419427173046</v>
      </c>
      <c r="F127" s="227">
        <f t="shared" si="88"/>
        <v>513.64617478252899</v>
      </c>
      <c r="G127" s="227">
        <f t="shared" si="88"/>
        <v>583.18925996994062</v>
      </c>
      <c r="H127" s="227">
        <f t="shared" si="88"/>
        <v>601.20063149254383</v>
      </c>
      <c r="I127" s="226">
        <f t="shared" si="88"/>
        <v>629.92165698738097</v>
      </c>
      <c r="J127" s="200"/>
      <c r="K127" s="227">
        <f t="shared" ref="K127:P127" si="89">SUM(K27,K52,K102,K77)</f>
        <v>92.350921216366629</v>
      </c>
      <c r="L127" s="227">
        <f t="shared" si="89"/>
        <v>101.95214576297602</v>
      </c>
      <c r="M127" s="227">
        <f t="shared" si="89"/>
        <v>113.27076737873037</v>
      </c>
      <c r="N127" s="227">
        <f t="shared" si="89"/>
        <v>122.86613457895004</v>
      </c>
      <c r="O127" s="227">
        <f t="shared" si="89"/>
        <v>128.05119860670337</v>
      </c>
      <c r="P127" s="226">
        <f t="shared" ca="1" si="89"/>
        <v>135.57425846800209</v>
      </c>
      <c r="Q127" s="186"/>
      <c r="R127" s="225">
        <f t="shared" ref="R127:W127" si="90">IFERROR(K127/D127,"--")</f>
        <v>0.18661149391175713</v>
      </c>
      <c r="S127" s="225">
        <f t="shared" si="90"/>
        <v>0.20541855731645173</v>
      </c>
      <c r="T127" s="225">
        <f t="shared" si="90"/>
        <v>0.22052294544330583</v>
      </c>
      <c r="U127" s="225">
        <f t="shared" si="90"/>
        <v>0.21067969356171432</v>
      </c>
      <c r="V127" s="225">
        <f t="shared" si="90"/>
        <v>0.21299245526206914</v>
      </c>
      <c r="W127" s="225">
        <f t="shared" ca="1" si="90"/>
        <v>0.21522399962622338</v>
      </c>
      <c r="X127" s="207"/>
      <c r="Y127" s="222"/>
      <c r="Z127" s="225">
        <f>IFERROR(E127/D127-1,"--")</f>
        <v>2.8912762620469934E-3</v>
      </c>
      <c r="AA127" s="225">
        <f>IFERROR(F127/E127-1,"--")</f>
        <v>3.4921387924902625E-2</v>
      </c>
      <c r="AB127" s="225">
        <f>IFERROR(G127/F127-1,"--")</f>
        <v>0.13539103102803263</v>
      </c>
      <c r="AC127" s="225">
        <f>IFERROR(H127/G127-1,"--")</f>
        <v>3.088426478143913E-2</v>
      </c>
      <c r="AD127" s="225">
        <f>IFERROR(I127/H127-1,"--")</f>
        <v>4.7772779984502245E-2</v>
      </c>
      <c r="AE127" s="207"/>
      <c r="AH127" s="193"/>
    </row>
    <row r="128" spans="1:34" s="212" customFormat="1" ht="15" customHeight="1">
      <c r="A128" s="205"/>
      <c r="B128" s="205"/>
      <c r="C128" s="212" t="s">
        <v>304</v>
      </c>
      <c r="D128" s="215"/>
      <c r="E128" s="224">
        <f>E127/D127-1</f>
        <v>2.8912762620469934E-3</v>
      </c>
      <c r="F128" s="224">
        <f>F127/E127-1</f>
        <v>3.4921387924902625E-2</v>
      </c>
      <c r="G128" s="224">
        <f>G127/F127-1</f>
        <v>0.13539103102803263</v>
      </c>
      <c r="H128" s="224">
        <f>H127/G127-1</f>
        <v>3.088426478143913E-2</v>
      </c>
      <c r="I128" s="224">
        <f>I127/H127-1</f>
        <v>4.7772779984502245E-2</v>
      </c>
      <c r="J128" s="207"/>
      <c r="K128" s="215"/>
      <c r="L128" s="224">
        <f>L127/K127-1</f>
        <v>0.10396457793977953</v>
      </c>
      <c r="M128" s="224">
        <f>M127/L127-1</f>
        <v>0.11101896415273593</v>
      </c>
      <c r="N128" s="224">
        <f>N127/M127-1</f>
        <v>8.4711770055699853E-2</v>
      </c>
      <c r="O128" s="224">
        <f>O127/N127-1</f>
        <v>4.2200920908939121E-2</v>
      </c>
      <c r="P128" s="224">
        <f ca="1">P127/O127-1</f>
        <v>5.8750405643644532E-2</v>
      </c>
      <c r="Q128" s="207"/>
      <c r="R128" s="214"/>
      <c r="S128" s="213"/>
      <c r="T128" s="213"/>
      <c r="U128" s="213"/>
      <c r="V128" s="213"/>
      <c r="W128" s="213"/>
      <c r="X128" s="207"/>
      <c r="Y128" s="222"/>
      <c r="Z128" s="213"/>
      <c r="AA128" s="213"/>
      <c r="AB128" s="213"/>
      <c r="AC128" s="213"/>
      <c r="AD128" s="213"/>
      <c r="AE128" s="207"/>
      <c r="AH128" s="193"/>
    </row>
    <row r="129" spans="1:34" s="189" customFormat="1" ht="5.25" customHeight="1">
      <c r="A129" s="196"/>
      <c r="B129" s="196"/>
      <c r="C129" s="196"/>
      <c r="D129" s="223"/>
      <c r="E129" s="213"/>
      <c r="F129" s="213"/>
      <c r="G129" s="213"/>
      <c r="H129" s="213"/>
      <c r="I129" s="213"/>
      <c r="J129" s="186"/>
      <c r="K129" s="223"/>
      <c r="L129" s="213"/>
      <c r="M129" s="213"/>
      <c r="N129" s="213"/>
      <c r="O129" s="213"/>
      <c r="P129" s="213"/>
      <c r="Q129" s="186"/>
      <c r="R129" s="214"/>
      <c r="S129" s="213"/>
      <c r="T129" s="213"/>
      <c r="U129" s="213"/>
      <c r="V129" s="213"/>
      <c r="W129" s="213"/>
      <c r="X129" s="207"/>
      <c r="Y129" s="222"/>
      <c r="Z129" s="213"/>
      <c r="AA129" s="213"/>
      <c r="AB129" s="213"/>
      <c r="AC129" s="213"/>
      <c r="AD129" s="213"/>
      <c r="AE129" s="207"/>
      <c r="AH129" s="193"/>
    </row>
    <row r="130" spans="1:34" s="188" customFormat="1" ht="15" customHeight="1">
      <c r="B130" s="221"/>
      <c r="C130" s="221" t="s">
        <v>381</v>
      </c>
      <c r="D130" s="220">
        <f t="shared" ref="D130:I130" si="91">SUM(D30,D55,D105,D80)</f>
        <v>892.49761679000028</v>
      </c>
      <c r="E130" s="219">
        <f t="shared" si="91"/>
        <v>905.46788330000004</v>
      </c>
      <c r="F130" s="219">
        <f t="shared" si="91"/>
        <v>1126.1524597899997</v>
      </c>
      <c r="G130" s="219">
        <f t="shared" si="91"/>
        <v>1215.0215934299999</v>
      </c>
      <c r="H130" s="219">
        <f t="shared" si="91"/>
        <v>1243.6995564425438</v>
      </c>
      <c r="I130" s="219">
        <f t="shared" si="91"/>
        <v>1288.368146913552</v>
      </c>
      <c r="J130" s="200"/>
      <c r="K130" s="219">
        <f t="shared" ref="K130:P130" si="92">SUM(K30,K55,K105,K80)</f>
        <v>171.68777580636663</v>
      </c>
      <c r="L130" s="219">
        <f t="shared" si="92"/>
        <v>179.44857618672603</v>
      </c>
      <c r="M130" s="219">
        <f t="shared" si="92"/>
        <v>210.7795899342085</v>
      </c>
      <c r="N130" s="219">
        <f t="shared" si="92"/>
        <v>233.00941026210808</v>
      </c>
      <c r="O130" s="219">
        <f t="shared" si="92"/>
        <v>242.27288063708335</v>
      </c>
      <c r="P130" s="219">
        <f t="shared" si="92"/>
        <v>256.99099683717213</v>
      </c>
      <c r="Q130" s="186"/>
      <c r="R130" s="217">
        <f t="shared" ref="R130:W130" si="93">IFERROR(K130/D130,"--")</f>
        <v>0.19236776947804871</v>
      </c>
      <c r="S130" s="217">
        <f t="shared" si="93"/>
        <v>0.1981832591706304</v>
      </c>
      <c r="T130" s="217">
        <f t="shared" si="93"/>
        <v>0.18716789907248776</v>
      </c>
      <c r="U130" s="217">
        <f t="shared" si="93"/>
        <v>0.19177388412030083</v>
      </c>
      <c r="V130" s="217">
        <f t="shared" si="93"/>
        <v>0.19480016647274234</v>
      </c>
      <c r="W130" s="217">
        <f t="shared" si="93"/>
        <v>0.19947015723170927</v>
      </c>
      <c r="X130" s="207"/>
      <c r="Y130" s="218"/>
      <c r="Z130" s="217">
        <f>IFERROR(E130/D130-1,"--")</f>
        <v>1.4532550301533886E-2</v>
      </c>
      <c r="AA130" s="217">
        <f>IFERROR(F130/E130-1,"--")</f>
        <v>0.24372435572834372</v>
      </c>
      <c r="AB130" s="217">
        <f>IFERROR(G130/F130-1,"--")</f>
        <v>7.8913945325459922E-2</v>
      </c>
      <c r="AC130" s="217">
        <f>IFERROR(H130/G130-1,"--")</f>
        <v>2.3602842260264767E-2</v>
      </c>
      <c r="AD130" s="217">
        <f>IFERROR(I130/H130-1,"--")</f>
        <v>3.591590126378863E-2</v>
      </c>
      <c r="AE130" s="207"/>
      <c r="AH130" s="216"/>
    </row>
    <row r="131" spans="1:34" s="212" customFormat="1" ht="15" customHeight="1">
      <c r="A131" s="205"/>
      <c r="B131" s="205"/>
      <c r="C131" s="205" t="s">
        <v>304</v>
      </c>
      <c r="D131" s="215"/>
      <c r="E131" s="213">
        <f>E130/D130-1</f>
        <v>1.4532550301533886E-2</v>
      </c>
      <c r="F131" s="213">
        <f>F130/E130-1</f>
        <v>0.24372435572834372</v>
      </c>
      <c r="G131" s="213">
        <f>G130/F130-1</f>
        <v>7.8913945325459922E-2</v>
      </c>
      <c r="H131" s="213">
        <f>H130/G130-1</f>
        <v>2.3602842260264767E-2</v>
      </c>
      <c r="I131" s="213">
        <f>I130/H130-1</f>
        <v>3.591590126378863E-2</v>
      </c>
      <c r="J131" s="207"/>
      <c r="K131" s="215"/>
      <c r="L131" s="213">
        <f>L130/K130-1</f>
        <v>4.5202987480670753E-2</v>
      </c>
      <c r="M131" s="213">
        <f>M130/L130-1</f>
        <v>0.17459605650412535</v>
      </c>
      <c r="N131" s="213">
        <f>N130/M130-1</f>
        <v>0.1054647669389539</v>
      </c>
      <c r="O131" s="213">
        <f>O130/N130-1</f>
        <v>3.9755777951435256E-2</v>
      </c>
      <c r="P131" s="213">
        <f>P130/O130-1</f>
        <v>6.075015974295539E-2</v>
      </c>
      <c r="Q131" s="207"/>
      <c r="R131" s="214"/>
      <c r="S131" s="213"/>
      <c r="T131" s="213"/>
      <c r="U131" s="213"/>
      <c r="V131" s="213"/>
      <c r="W131" s="213"/>
      <c r="X131" s="207"/>
      <c r="Y131" s="214"/>
      <c r="Z131" s="213"/>
      <c r="AA131" s="213"/>
      <c r="AB131" s="213"/>
      <c r="AC131" s="213"/>
      <c r="AD131" s="213"/>
      <c r="AE131" s="207"/>
      <c r="AH131" s="193"/>
    </row>
    <row r="134" spans="1:34">
      <c r="J134" s="198"/>
      <c r="K134" s="192"/>
      <c r="L134" s="192"/>
      <c r="M134" s="192"/>
      <c r="N134" s="192"/>
      <c r="O134" s="192"/>
      <c r="P134" s="192"/>
    </row>
    <row r="135" spans="1:34">
      <c r="D135" s="192"/>
      <c r="E135" s="192"/>
      <c r="F135" s="192"/>
      <c r="G135" s="192"/>
      <c r="H135" s="192"/>
      <c r="J135" s="198"/>
      <c r="K135" s="209"/>
      <c r="L135" s="209"/>
      <c r="M135" s="209"/>
      <c r="N135" s="209"/>
      <c r="O135" s="209"/>
    </row>
    <row r="136" spans="1:34">
      <c r="D136" s="192"/>
      <c r="E136" s="192"/>
      <c r="F136" s="192"/>
      <c r="G136" s="192"/>
      <c r="H136" s="192"/>
    </row>
    <row r="137" spans="1:34">
      <c r="D137" s="209"/>
      <c r="E137" s="209"/>
      <c r="F137" s="209"/>
      <c r="G137" s="209"/>
      <c r="H137" s="209"/>
      <c r="J137" s="198"/>
      <c r="K137" s="192"/>
      <c r="L137" s="192"/>
      <c r="M137" s="192"/>
      <c r="N137" s="192"/>
      <c r="O137" s="192"/>
      <c r="P137" s="192"/>
    </row>
    <row r="138" spans="1:34">
      <c r="J138" s="198"/>
      <c r="K138" s="192"/>
      <c r="L138" s="192"/>
      <c r="M138" s="192"/>
      <c r="N138" s="192"/>
      <c r="O138" s="192"/>
      <c r="P138" s="192"/>
    </row>
    <row r="139" spans="1:34">
      <c r="K139" s="209"/>
      <c r="L139" s="209"/>
      <c r="M139" s="209"/>
      <c r="N139" s="209"/>
      <c r="O139" s="209"/>
      <c r="P139" s="211"/>
    </row>
    <row r="140" spans="1:34">
      <c r="D140" s="192"/>
      <c r="E140" s="192"/>
      <c r="F140" s="192"/>
      <c r="G140" s="192"/>
      <c r="H140" s="192"/>
    </row>
    <row r="141" spans="1:34">
      <c r="D141" s="192"/>
      <c r="E141" s="192"/>
      <c r="F141" s="192"/>
      <c r="G141" s="192"/>
      <c r="H141" s="192"/>
      <c r="P141" s="209"/>
    </row>
    <row r="142" spans="1:34">
      <c r="D142" s="209"/>
      <c r="E142" s="209"/>
      <c r="F142" s="209"/>
      <c r="G142" s="209"/>
      <c r="H142" s="209"/>
      <c r="J142" s="210"/>
      <c r="K142" s="209"/>
      <c r="L142" s="209"/>
      <c r="M142" s="209"/>
      <c r="N142" s="209"/>
      <c r="O142" s="209"/>
    </row>
    <row r="143" spans="1:34">
      <c r="D143" s="204"/>
      <c r="J143" s="210"/>
      <c r="K143" s="209"/>
      <c r="L143" s="209"/>
      <c r="M143" s="209"/>
      <c r="N143" s="209"/>
      <c r="O143" s="209"/>
    </row>
    <row r="144" spans="1:34">
      <c r="D144" s="204"/>
      <c r="J144" s="198"/>
      <c r="K144" s="209"/>
      <c r="L144" s="209"/>
      <c r="M144" s="209"/>
      <c r="N144" s="209"/>
      <c r="O144" s="209"/>
    </row>
    <row r="145" spans="4:15">
      <c r="J145" s="198"/>
      <c r="K145" s="209"/>
      <c r="L145" s="209"/>
      <c r="M145" s="209"/>
      <c r="N145" s="209"/>
      <c r="O145" s="209"/>
    </row>
    <row r="147" spans="4:15">
      <c r="D147" s="207"/>
      <c r="E147" s="207"/>
      <c r="F147" s="207"/>
      <c r="G147" s="207"/>
      <c r="H147" s="206"/>
      <c r="I147" s="208"/>
    </row>
    <row r="148" spans="4:15">
      <c r="D148" s="207"/>
      <c r="E148" s="207"/>
      <c r="F148" s="207"/>
      <c r="G148" s="207"/>
      <c r="H148" s="206"/>
      <c r="I148" s="208"/>
    </row>
    <row r="149" spans="4:15">
      <c r="D149" s="207"/>
      <c r="E149" s="207"/>
      <c r="F149" s="207"/>
      <c r="G149" s="207"/>
      <c r="H149" s="206"/>
      <c r="I149" s="208"/>
    </row>
    <row r="150" spans="4:15">
      <c r="D150" s="207"/>
      <c r="E150" s="207"/>
      <c r="F150" s="207"/>
      <c r="G150" s="207"/>
      <c r="H150" s="206"/>
      <c r="I150" s="208"/>
    </row>
    <row r="151" spans="4:15">
      <c r="H151" s="188"/>
      <c r="I151" s="196"/>
    </row>
    <row r="152" spans="4:15">
      <c r="H152" s="188"/>
      <c r="I152" s="196"/>
    </row>
    <row r="153" spans="4:15">
      <c r="D153" s="207"/>
      <c r="E153" s="207"/>
      <c r="F153" s="207"/>
      <c r="G153" s="207"/>
      <c r="H153" s="206"/>
      <c r="I153" s="205"/>
    </row>
    <row r="154" spans="4:15">
      <c r="D154" s="207"/>
      <c r="E154" s="207"/>
      <c r="F154" s="207"/>
      <c r="G154" s="207"/>
      <c r="H154" s="206"/>
      <c r="I154" s="205"/>
    </row>
    <row r="155" spans="4:15">
      <c r="D155" s="207"/>
      <c r="E155" s="207"/>
      <c r="F155" s="207"/>
      <c r="G155" s="207"/>
      <c r="H155" s="206"/>
      <c r="I155" s="205"/>
    </row>
    <row r="156" spans="4:15">
      <c r="D156" s="207"/>
      <c r="E156" s="207"/>
      <c r="F156" s="207"/>
      <c r="G156" s="207"/>
      <c r="H156" s="206"/>
      <c r="I156" s="205"/>
    </row>
    <row r="159" spans="4:15">
      <c r="D159" s="204"/>
    </row>
    <row r="160" spans="4:15">
      <c r="D160" s="204"/>
    </row>
    <row r="161" spans="3:4">
      <c r="D161" s="204"/>
    </row>
    <row r="162" spans="3:4">
      <c r="D162" s="204"/>
    </row>
    <row r="165" spans="3:4">
      <c r="C165" s="203"/>
    </row>
    <row r="166" spans="3:4">
      <c r="C166" s="203"/>
    </row>
    <row r="167" spans="3:4">
      <c r="C167" s="203"/>
    </row>
    <row r="168" spans="3:4">
      <c r="C168" s="203"/>
    </row>
    <row r="169" spans="3:4">
      <c r="C169" s="203"/>
    </row>
    <row r="170" spans="3:4">
      <c r="C170" s="203"/>
    </row>
    <row r="171" spans="3:4">
      <c r="C171" s="203"/>
    </row>
    <row r="172" spans="3:4">
      <c r="C172" s="203"/>
    </row>
    <row r="173" spans="3:4">
      <c r="C173" s="203"/>
    </row>
    <row r="174" spans="3:4">
      <c r="C174" s="203"/>
    </row>
    <row r="175" spans="3:4">
      <c r="C175" s="203"/>
    </row>
    <row r="176" spans="3:4">
      <c r="C176" s="203"/>
    </row>
    <row r="177" spans="1:34">
      <c r="C177" s="203"/>
    </row>
    <row r="178" spans="1:34">
      <c r="C178" s="203"/>
    </row>
    <row r="179" spans="1:34">
      <c r="C179" s="203"/>
    </row>
    <row r="181" spans="1:34">
      <c r="G181" s="198"/>
      <c r="H181" s="198"/>
    </row>
    <row r="182" spans="1:34">
      <c r="G182" s="200"/>
      <c r="H182" s="200"/>
    </row>
    <row r="183" spans="1:34">
      <c r="G183" s="202"/>
      <c r="H183" s="202"/>
    </row>
    <row r="184" spans="1:34">
      <c r="G184" s="200"/>
      <c r="H184" s="200"/>
    </row>
    <row r="185" spans="1:34">
      <c r="G185" s="200"/>
      <c r="H185" s="200"/>
    </row>
    <row r="186" spans="1:34" s="189" customFormat="1">
      <c r="A186" s="196"/>
      <c r="B186" s="196"/>
      <c r="C186" s="186"/>
      <c r="D186" s="186"/>
      <c r="E186" s="186"/>
      <c r="F186" s="186"/>
      <c r="G186" s="200"/>
      <c r="H186" s="200"/>
      <c r="AH186" s="193"/>
    </row>
    <row r="187" spans="1:34">
      <c r="C187" s="189"/>
      <c r="D187" s="189"/>
      <c r="E187" s="189"/>
      <c r="F187" s="189"/>
      <c r="G187" s="193"/>
      <c r="H187" s="193"/>
    </row>
    <row r="189" spans="1:34">
      <c r="G189" s="200"/>
      <c r="H189" s="200"/>
    </row>
    <row r="190" spans="1:34">
      <c r="G190" s="200"/>
      <c r="H190" s="200"/>
    </row>
    <row r="191" spans="1:34">
      <c r="G191" s="200"/>
      <c r="H191" s="200"/>
    </row>
    <row r="192" spans="1:34">
      <c r="G192" s="201"/>
      <c r="H192" s="201"/>
    </row>
    <row r="195" spans="1:34">
      <c r="D195" s="198"/>
      <c r="E195" s="198"/>
      <c r="F195" s="198"/>
      <c r="G195" s="198"/>
      <c r="H195" s="198"/>
    </row>
    <row r="196" spans="1:34">
      <c r="D196" s="200"/>
      <c r="E196" s="200"/>
      <c r="F196" s="200"/>
      <c r="G196" s="200"/>
      <c r="H196" s="200"/>
    </row>
    <row r="197" spans="1:34" s="189" customFormat="1">
      <c r="A197" s="196"/>
      <c r="B197" s="196"/>
      <c r="D197" s="193"/>
      <c r="E197" s="193"/>
      <c r="F197" s="193"/>
      <c r="G197" s="193"/>
      <c r="H197" s="193"/>
      <c r="AH197" s="193"/>
    </row>
    <row r="198" spans="1:34" ht="5.25" customHeight="1"/>
    <row r="199" spans="1:34">
      <c r="D199" s="200"/>
      <c r="E199" s="200"/>
      <c r="F199" s="200"/>
      <c r="G199" s="200"/>
      <c r="H199" s="200"/>
    </row>
    <row r="200" spans="1:34" s="189" customFormat="1">
      <c r="A200" s="196"/>
      <c r="B200" s="196"/>
      <c r="D200" s="193"/>
      <c r="E200" s="193"/>
      <c r="F200" s="193"/>
      <c r="G200" s="193"/>
      <c r="H200" s="193"/>
      <c r="AH200" s="193"/>
    </row>
    <row r="201" spans="1:34" ht="5.25" customHeight="1"/>
    <row r="202" spans="1:34">
      <c r="D202" s="200"/>
      <c r="E202" s="200"/>
      <c r="F202" s="200"/>
      <c r="G202" s="200"/>
      <c r="H202" s="200"/>
    </row>
    <row r="203" spans="1:34" s="189" customFormat="1">
      <c r="A203" s="196"/>
      <c r="B203" s="196"/>
      <c r="D203" s="193"/>
      <c r="E203" s="193"/>
      <c r="F203" s="193"/>
      <c r="G203" s="193"/>
      <c r="H203" s="193"/>
      <c r="AH203" s="193"/>
    </row>
    <row r="205" spans="1:34">
      <c r="K205" s="199"/>
      <c r="L205" s="199"/>
    </row>
    <row r="206" spans="1:34">
      <c r="D206" s="198"/>
      <c r="E206" s="198"/>
      <c r="F206" s="198"/>
      <c r="G206" s="198"/>
      <c r="H206" s="198"/>
      <c r="I206" s="198"/>
      <c r="K206" s="197"/>
      <c r="L206" s="197"/>
    </row>
    <row r="207" spans="1:34" ht="5.25" customHeight="1"/>
    <row r="208" spans="1:34" ht="12.75" customHeight="1">
      <c r="C208" s="195"/>
    </row>
    <row r="209" spans="1:34" s="189" customFormat="1" ht="12.75" customHeight="1">
      <c r="A209" s="196"/>
      <c r="B209" s="196"/>
      <c r="C209" s="194"/>
      <c r="D209" s="192"/>
      <c r="E209" s="192"/>
      <c r="F209" s="192"/>
      <c r="G209" s="192"/>
      <c r="H209" s="192"/>
      <c r="I209" s="192"/>
      <c r="J209" s="186"/>
      <c r="K209" s="191"/>
      <c r="L209" s="191"/>
      <c r="AH209" s="193"/>
    </row>
    <row r="210" spans="1:34" s="189" customFormat="1" ht="12.75" customHeight="1">
      <c r="A210" s="196"/>
      <c r="B210" s="196"/>
      <c r="E210" s="190"/>
      <c r="F210" s="190"/>
      <c r="G210" s="190"/>
      <c r="H210" s="190"/>
      <c r="I210" s="190"/>
      <c r="AH210" s="193"/>
    </row>
    <row r="211" spans="1:34" ht="5.25" customHeight="1">
      <c r="C211" s="189"/>
      <c r="D211" s="189"/>
      <c r="E211" s="193"/>
      <c r="F211" s="193"/>
      <c r="G211" s="193"/>
      <c r="H211" s="193"/>
      <c r="I211" s="193"/>
      <c r="J211" s="189"/>
      <c r="K211" s="189"/>
      <c r="L211" s="189"/>
    </row>
    <row r="212" spans="1:34" s="189" customFormat="1" ht="12.75" customHeight="1">
      <c r="A212" s="196"/>
      <c r="B212" s="196"/>
      <c r="C212" s="186"/>
      <c r="D212" s="192"/>
      <c r="E212" s="192"/>
      <c r="F212" s="192"/>
      <c r="G212" s="192"/>
      <c r="H212" s="192"/>
      <c r="I212" s="192"/>
      <c r="J212" s="186"/>
      <c r="K212" s="191"/>
      <c r="L212" s="191"/>
      <c r="AH212" s="193"/>
    </row>
    <row r="213" spans="1:34" s="189" customFormat="1" ht="12.75" customHeight="1">
      <c r="A213" s="196"/>
      <c r="B213" s="196"/>
      <c r="E213" s="190"/>
      <c r="F213" s="190"/>
      <c r="G213" s="190"/>
      <c r="H213" s="190"/>
      <c r="I213" s="190"/>
      <c r="AH213" s="193"/>
    </row>
    <row r="214" spans="1:34" ht="5.25" customHeight="1">
      <c r="C214" s="189"/>
      <c r="D214" s="189"/>
      <c r="E214" s="193"/>
      <c r="F214" s="193"/>
      <c r="G214" s="193"/>
      <c r="H214" s="193"/>
      <c r="I214" s="193"/>
      <c r="J214" s="189"/>
      <c r="K214" s="189"/>
      <c r="L214" s="189"/>
    </row>
    <row r="215" spans="1:34" s="189" customFormat="1" ht="12.75" customHeight="1">
      <c r="A215" s="196"/>
      <c r="B215" s="196"/>
      <c r="C215" s="186"/>
      <c r="D215" s="192"/>
      <c r="E215" s="192"/>
      <c r="F215" s="192"/>
      <c r="G215" s="192"/>
      <c r="H215" s="192"/>
      <c r="I215" s="192"/>
      <c r="J215" s="186"/>
      <c r="K215" s="191"/>
      <c r="L215" s="191"/>
      <c r="AH215" s="193"/>
    </row>
    <row r="216" spans="1:34" ht="12.75" customHeight="1">
      <c r="C216" s="189"/>
      <c r="D216" s="189"/>
      <c r="E216" s="190"/>
      <c r="F216" s="190"/>
      <c r="G216" s="190"/>
      <c r="H216" s="190"/>
      <c r="I216" s="190"/>
      <c r="J216" s="189"/>
      <c r="K216" s="189"/>
      <c r="L216" s="189"/>
    </row>
    <row r="217" spans="1:34" ht="12.75" customHeight="1"/>
    <row r="218" spans="1:34" ht="12.75" customHeight="1">
      <c r="C218" s="195"/>
    </row>
    <row r="219" spans="1:34" ht="12.75" customHeight="1">
      <c r="C219" s="194"/>
      <c r="D219" s="192"/>
      <c r="E219" s="192"/>
      <c r="F219" s="192"/>
      <c r="G219" s="192"/>
      <c r="H219" s="192"/>
      <c r="I219" s="192"/>
      <c r="K219" s="191"/>
      <c r="L219" s="191"/>
    </row>
    <row r="220" spans="1:34">
      <c r="C220" s="189"/>
      <c r="D220" s="189"/>
      <c r="E220" s="190"/>
      <c r="F220" s="190"/>
      <c r="G220" s="190"/>
      <c r="H220" s="190"/>
      <c r="I220" s="190"/>
      <c r="J220" s="189"/>
      <c r="K220" s="189"/>
      <c r="L220" s="189"/>
    </row>
    <row r="221" spans="1:34" ht="5.25" customHeight="1">
      <c r="C221" s="189"/>
      <c r="D221" s="189"/>
      <c r="E221" s="193"/>
      <c r="F221" s="193"/>
      <c r="G221" s="193"/>
      <c r="H221" s="193"/>
      <c r="I221" s="193"/>
      <c r="J221" s="189"/>
      <c r="K221" s="189"/>
      <c r="L221" s="189"/>
    </row>
    <row r="222" spans="1:34">
      <c r="D222" s="192"/>
      <c r="E222" s="192"/>
      <c r="F222" s="192"/>
      <c r="G222" s="192"/>
      <c r="H222" s="192"/>
      <c r="I222" s="192"/>
      <c r="K222" s="191"/>
      <c r="L222" s="191"/>
    </row>
    <row r="223" spans="1:34">
      <c r="C223" s="189"/>
      <c r="D223" s="189"/>
      <c r="E223" s="190"/>
      <c r="F223" s="190"/>
      <c r="G223" s="190"/>
      <c r="H223" s="190"/>
      <c r="I223" s="190"/>
      <c r="J223" s="189"/>
      <c r="K223" s="189"/>
      <c r="L223" s="189"/>
    </row>
    <row r="224" spans="1:34" ht="5.25" customHeight="1">
      <c r="C224" s="189"/>
      <c r="D224" s="189"/>
      <c r="E224" s="193"/>
      <c r="F224" s="193"/>
      <c r="G224" s="193"/>
      <c r="H224" s="193"/>
      <c r="I224" s="193"/>
      <c r="J224" s="189"/>
      <c r="K224" s="189"/>
      <c r="L224" s="189"/>
    </row>
    <row r="225" spans="3:12">
      <c r="D225" s="192"/>
      <c r="E225" s="192"/>
      <c r="F225" s="192"/>
      <c r="G225" s="192"/>
      <c r="H225" s="192"/>
      <c r="I225" s="192"/>
      <c r="K225" s="191"/>
      <c r="L225" s="191"/>
    </row>
    <row r="226" spans="3:12">
      <c r="C226" s="189"/>
      <c r="D226" s="189"/>
      <c r="E226" s="190"/>
      <c r="F226" s="190"/>
      <c r="G226" s="190"/>
      <c r="H226" s="190"/>
      <c r="I226" s="190"/>
      <c r="J226" s="189"/>
      <c r="K226" s="189"/>
      <c r="L226" s="18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W133"/>
  <sheetViews>
    <sheetView showGridLines="0" workbookViewId="0">
      <selection activeCell="P35" sqref="P35"/>
    </sheetView>
  </sheetViews>
  <sheetFormatPr defaultColWidth="9" defaultRowHeight="12.5"/>
  <cols>
    <col min="1" max="14" width="9" style="326" customWidth="1"/>
    <col min="15" max="15" width="12.83203125" style="326" customWidth="1"/>
    <col min="16" max="17" width="24" style="326" customWidth="1"/>
    <col min="18" max="18" width="9" style="326" customWidth="1"/>
    <col min="19" max="16384" width="9" style="326"/>
  </cols>
  <sheetData>
    <row r="2" spans="2:20" ht="16" customHeight="1">
      <c r="O2" s="333" t="s">
        <v>382</v>
      </c>
      <c r="P2" s="333" t="s">
        <v>383</v>
      </c>
      <c r="Q2" s="333" t="s">
        <v>384</v>
      </c>
    </row>
    <row r="3" spans="2:20" ht="14" customHeight="1" thickBot="1">
      <c r="N3" s="326">
        <f t="shared" ref="N3:N34" si="0">YEAR(O3)</f>
        <v>2025</v>
      </c>
      <c r="O3" s="336">
        <v>45952</v>
      </c>
      <c r="P3" s="337">
        <v>4.2099999999999999E-2</v>
      </c>
      <c r="Q3" s="338"/>
    </row>
    <row r="4" spans="2:20" ht="15" customHeight="1" thickTop="1" thickBot="1">
      <c r="N4" s="326">
        <f t="shared" si="0"/>
        <v>2025</v>
      </c>
      <c r="O4" s="339">
        <v>45930</v>
      </c>
      <c r="P4" s="340">
        <v>4.24E-2</v>
      </c>
      <c r="Q4" s="341"/>
    </row>
    <row r="5" spans="2:20" ht="15" customHeight="1" thickTop="1" thickBot="1">
      <c r="N5" s="326">
        <f t="shared" si="0"/>
        <v>2025</v>
      </c>
      <c r="O5" s="336">
        <v>45898</v>
      </c>
      <c r="P5" s="337">
        <v>4.3400000000000001E-2</v>
      </c>
      <c r="Q5" s="338"/>
    </row>
    <row r="6" spans="2:20" ht="15" customHeight="1" thickTop="1" thickBot="1">
      <c r="N6" s="326">
        <f t="shared" si="0"/>
        <v>2025</v>
      </c>
      <c r="O6" s="339">
        <v>45869</v>
      </c>
      <c r="P6" s="340">
        <v>4.3900000000000002E-2</v>
      </c>
      <c r="Q6" s="341"/>
    </row>
    <row r="7" spans="2:20" ht="15" customHeight="1" thickTop="1" thickBot="1">
      <c r="N7" s="326">
        <f t="shared" si="0"/>
        <v>2025</v>
      </c>
      <c r="O7" s="336">
        <v>45838</v>
      </c>
      <c r="P7" s="337">
        <v>4.4499999999999998E-2</v>
      </c>
      <c r="Q7" s="338"/>
    </row>
    <row r="8" spans="2:20" ht="15" customHeight="1" thickTop="1" thickBot="1">
      <c r="N8" s="326">
        <f t="shared" si="0"/>
        <v>2025</v>
      </c>
      <c r="O8" s="339">
        <v>45807</v>
      </c>
      <c r="P8" s="340">
        <v>4.3499999999999997E-2</v>
      </c>
      <c r="Q8" s="341"/>
    </row>
    <row r="9" spans="2:20" ht="15" customHeight="1" thickTop="1" thickBot="1">
      <c r="N9" s="326">
        <f t="shared" si="0"/>
        <v>2025</v>
      </c>
      <c r="O9" s="336">
        <v>45777</v>
      </c>
      <c r="P9" s="337">
        <v>4.41E-2</v>
      </c>
      <c r="Q9" s="338"/>
    </row>
    <row r="10" spans="2:20" ht="28" customHeight="1" thickTop="1" thickBot="1">
      <c r="B10" s="334" t="s">
        <v>385</v>
      </c>
      <c r="N10" s="326">
        <f t="shared" si="0"/>
        <v>2025</v>
      </c>
      <c r="O10" s="339">
        <v>45747</v>
      </c>
      <c r="P10" s="340">
        <v>4.41E-2</v>
      </c>
      <c r="Q10" s="341"/>
    </row>
    <row r="11" spans="2:20" ht="15" customHeight="1" thickTop="1" thickBot="1">
      <c r="N11" s="326">
        <f t="shared" si="0"/>
        <v>2025</v>
      </c>
      <c r="O11" s="336">
        <v>45716</v>
      </c>
      <c r="P11" s="337">
        <v>4.3900000000000002E-2</v>
      </c>
      <c r="Q11" s="338"/>
      <c r="T11" s="326" t="s">
        <v>386</v>
      </c>
    </row>
    <row r="12" spans="2:20" ht="18" customHeight="1" thickTop="1" thickBot="1">
      <c r="N12" s="326">
        <f t="shared" si="0"/>
        <v>2025</v>
      </c>
      <c r="O12" s="342">
        <v>45688</v>
      </c>
      <c r="P12" s="343">
        <v>4.3799999999999999E-2</v>
      </c>
      <c r="Q12" s="344"/>
      <c r="S12" s="326">
        <v>2025</v>
      </c>
      <c r="T12" s="335">
        <f>AVERAGEIFS(P$3:P$133,$N$3:$N$133,S12)</f>
        <v>4.2380099999999997E-2</v>
      </c>
    </row>
    <row r="13" spans="2:20" ht="15" customHeight="1">
      <c r="N13" s="326">
        <f t="shared" si="0"/>
        <v>2025</v>
      </c>
      <c r="O13" s="328">
        <v>45957</v>
      </c>
      <c r="P13" s="327">
        <v>3.99119E-2</v>
      </c>
      <c r="Q13" s="327">
        <v>3.8586000000000002E-2</v>
      </c>
      <c r="S13" s="326">
        <v>2026</v>
      </c>
      <c r="T13" s="335">
        <f>AVERAGEIFS(P$13:P$133,$N$13:$N$133,S13)</f>
        <v>3.2173924999999999E-2</v>
      </c>
    </row>
    <row r="14" spans="2:20" ht="15" customHeight="1">
      <c r="N14" s="326">
        <f t="shared" si="0"/>
        <v>2025</v>
      </c>
      <c r="O14" s="330">
        <v>45989</v>
      </c>
      <c r="P14" s="329">
        <v>3.8298899999999997E-2</v>
      </c>
      <c r="Q14" s="329">
        <v>3.7103900000000002E-2</v>
      </c>
      <c r="S14" s="326">
        <v>2027</v>
      </c>
      <c r="T14" s="335">
        <f>AVERAGEIFS(P$13:P$133,$N$13:$N$133,S14)</f>
        <v>2.9974125000000001E-2</v>
      </c>
    </row>
    <row r="15" spans="2:20" ht="15" customHeight="1">
      <c r="N15" s="326">
        <f t="shared" si="0"/>
        <v>2025</v>
      </c>
      <c r="O15" s="328">
        <v>46020</v>
      </c>
      <c r="P15" s="327">
        <v>3.7030500000000001E-2</v>
      </c>
      <c r="Q15" s="327">
        <v>3.5993600000000001E-2</v>
      </c>
      <c r="S15" s="326">
        <v>2028</v>
      </c>
      <c r="T15" s="335">
        <f>AVERAGEIFS(P$13:P$133,$N$13:$N$133,S15)</f>
        <v>3.1476808333333335E-2</v>
      </c>
    </row>
    <row r="16" spans="2:20" ht="15" customHeight="1">
      <c r="N16" s="326">
        <f t="shared" si="0"/>
        <v>2026</v>
      </c>
      <c r="O16" s="330">
        <v>46049</v>
      </c>
      <c r="P16" s="329">
        <v>3.5638999999999997E-2</v>
      </c>
      <c r="Q16" s="329">
        <v>3.49637E-2</v>
      </c>
      <c r="S16" s="326">
        <v>2029</v>
      </c>
      <c r="T16" s="335">
        <f>AVERAGEIFS(P$13:P$133,$N$13:$N$133,S16)</f>
        <v>3.3048000000000008E-2</v>
      </c>
    </row>
    <row r="17" spans="14:23" ht="15" customHeight="1">
      <c r="N17" s="326">
        <f t="shared" si="0"/>
        <v>2026</v>
      </c>
      <c r="O17" s="328">
        <v>46080</v>
      </c>
      <c r="P17" s="327">
        <v>3.5070700000000003E-2</v>
      </c>
      <c r="Q17" s="327">
        <v>3.4297300000000003E-2</v>
      </c>
    </row>
    <row r="18" spans="14:23" ht="15" customHeight="1">
      <c r="N18" s="326">
        <f t="shared" si="0"/>
        <v>2026</v>
      </c>
      <c r="O18" s="330">
        <v>46108</v>
      </c>
      <c r="P18" s="329">
        <v>3.3897700000000003E-2</v>
      </c>
      <c r="Q18" s="329">
        <v>3.3615899999999997E-2</v>
      </c>
    </row>
    <row r="19" spans="14:23" ht="15" customHeight="1">
      <c r="N19" s="326">
        <f t="shared" si="0"/>
        <v>2026</v>
      </c>
      <c r="O19" s="328">
        <v>46139</v>
      </c>
      <c r="P19" s="327">
        <v>3.3702099999999999E-2</v>
      </c>
      <c r="Q19" s="327">
        <v>3.2932200000000002E-2</v>
      </c>
      <c r="S19" s="326">
        <v>2025</v>
      </c>
      <c r="T19" s="326">
        <f>S19+1</f>
        <v>2026</v>
      </c>
      <c r="U19" s="326">
        <f>T19+1</f>
        <v>2027</v>
      </c>
      <c r="V19" s="326">
        <f>U19+1</f>
        <v>2028</v>
      </c>
      <c r="W19" s="326">
        <f>V19+1</f>
        <v>2029</v>
      </c>
    </row>
    <row r="20" spans="14:23" ht="15" customHeight="1">
      <c r="N20" s="326">
        <f t="shared" si="0"/>
        <v>2026</v>
      </c>
      <c r="O20" s="330">
        <v>46169</v>
      </c>
      <c r="P20" s="329">
        <v>3.2994099999999998E-2</v>
      </c>
      <c r="Q20" s="329">
        <v>3.2279200000000001E-2</v>
      </c>
      <c r="S20" s="335">
        <f t="array" ref="S20:W20">TRANSPOSE(T12:T16)</f>
        <v>4.2380099999999997E-2</v>
      </c>
      <c r="T20" s="335">
        <v>3.2173924999999999E-2</v>
      </c>
      <c r="U20" s="335">
        <v>2.9974125000000001E-2</v>
      </c>
      <c r="V20" s="335">
        <v>3.1476808333333335E-2</v>
      </c>
      <c r="W20" s="335">
        <v>3.3048000000000008E-2</v>
      </c>
    </row>
    <row r="21" spans="14:23" ht="15" customHeight="1">
      <c r="N21" s="326">
        <f t="shared" si="0"/>
        <v>2026</v>
      </c>
      <c r="O21" s="328">
        <v>46202</v>
      </c>
      <c r="P21" s="327">
        <v>3.1742699999999999E-2</v>
      </c>
      <c r="Q21" s="327">
        <v>3.1615999999999998E-2</v>
      </c>
    </row>
    <row r="22" spans="14:23" ht="15" customHeight="1">
      <c r="N22" s="326">
        <f t="shared" si="0"/>
        <v>2026</v>
      </c>
      <c r="O22" s="330">
        <v>46230</v>
      </c>
      <c r="P22" s="329">
        <v>3.1744099999999997E-2</v>
      </c>
      <c r="Q22" s="329">
        <v>3.1156099999999999E-2</v>
      </c>
    </row>
    <row r="23" spans="14:23" ht="15" customHeight="1">
      <c r="N23" s="326">
        <f t="shared" si="0"/>
        <v>2026</v>
      </c>
      <c r="O23" s="328">
        <v>46261</v>
      </c>
      <c r="P23" s="327">
        <v>3.11817E-2</v>
      </c>
      <c r="Q23" s="327">
        <v>3.0646900000000001E-2</v>
      </c>
    </row>
    <row r="24" spans="14:23" ht="15" customHeight="1">
      <c r="N24" s="326">
        <f t="shared" si="0"/>
        <v>2026</v>
      </c>
      <c r="O24" s="330">
        <v>46293</v>
      </c>
      <c r="P24" s="329">
        <v>3.0239700000000001E-2</v>
      </c>
      <c r="Q24" s="329">
        <v>3.0236300000000001E-2</v>
      </c>
    </row>
    <row r="25" spans="14:23" ht="15" customHeight="1">
      <c r="N25" s="326">
        <f t="shared" si="0"/>
        <v>2026</v>
      </c>
      <c r="O25" s="328">
        <v>46322</v>
      </c>
      <c r="P25" s="327">
        <v>3.0241000000000001E-2</v>
      </c>
      <c r="Q25" s="327">
        <v>3.0038100000000002E-2</v>
      </c>
    </row>
    <row r="26" spans="14:23" ht="15" customHeight="1">
      <c r="N26" s="326">
        <f t="shared" si="0"/>
        <v>2026</v>
      </c>
      <c r="O26" s="330">
        <v>46353</v>
      </c>
      <c r="P26" s="329">
        <v>3.0004400000000001E-2</v>
      </c>
      <c r="Q26" s="329">
        <v>2.9831300000000002E-2</v>
      </c>
    </row>
    <row r="27" spans="14:23" ht="15" customHeight="1">
      <c r="N27" s="326">
        <f t="shared" si="0"/>
        <v>2026</v>
      </c>
      <c r="O27" s="328">
        <v>46384</v>
      </c>
      <c r="P27" s="327">
        <v>2.9629900000000001E-2</v>
      </c>
      <c r="Q27" s="327">
        <v>2.9697899999999999E-2</v>
      </c>
    </row>
    <row r="28" spans="14:23" ht="15" customHeight="1">
      <c r="N28" s="326">
        <f t="shared" si="0"/>
        <v>2027</v>
      </c>
      <c r="O28" s="330">
        <v>46414</v>
      </c>
      <c r="P28" s="329">
        <v>2.9628700000000001E-2</v>
      </c>
      <c r="Q28" s="329">
        <v>2.9694600000000002E-2</v>
      </c>
    </row>
    <row r="29" spans="14:23" ht="15" customHeight="1">
      <c r="N29" s="326">
        <f t="shared" si="0"/>
        <v>2027</v>
      </c>
      <c r="O29" s="328">
        <v>46444</v>
      </c>
      <c r="P29" s="327">
        <v>2.9614600000000001E-2</v>
      </c>
      <c r="Q29" s="327">
        <v>2.971E-2</v>
      </c>
    </row>
    <row r="30" spans="14:23" ht="15" customHeight="1">
      <c r="N30" s="326">
        <f t="shared" si="0"/>
        <v>2027</v>
      </c>
      <c r="O30" s="330">
        <v>46475</v>
      </c>
      <c r="P30" s="329">
        <v>2.9625700000000001E-2</v>
      </c>
      <c r="Q30" s="329">
        <v>2.97656E-2</v>
      </c>
    </row>
    <row r="31" spans="14:23" ht="15" customHeight="1">
      <c r="N31" s="326">
        <f t="shared" si="0"/>
        <v>2027</v>
      </c>
      <c r="O31" s="328">
        <v>46504</v>
      </c>
      <c r="P31" s="327">
        <v>2.96808E-2</v>
      </c>
      <c r="Q31" s="327">
        <v>2.9832999999999998E-2</v>
      </c>
    </row>
    <row r="32" spans="14:23" ht="15" customHeight="1">
      <c r="N32" s="326">
        <f t="shared" si="0"/>
        <v>2027</v>
      </c>
      <c r="O32" s="330">
        <v>46534</v>
      </c>
      <c r="P32" s="329">
        <v>2.9757499999999999E-2</v>
      </c>
      <c r="Q32" s="329">
        <v>2.9920700000000001E-2</v>
      </c>
    </row>
    <row r="33" spans="2:17" ht="15" customHeight="1">
      <c r="N33" s="326">
        <f t="shared" si="0"/>
        <v>2027</v>
      </c>
      <c r="O33" s="328">
        <v>46566</v>
      </c>
      <c r="P33" s="327">
        <v>2.9842500000000001E-2</v>
      </c>
      <c r="Q33" s="327">
        <v>3.0025199999999998E-2</v>
      </c>
    </row>
    <row r="34" spans="2:17" ht="15" customHeight="1">
      <c r="N34" s="326">
        <f t="shared" si="0"/>
        <v>2027</v>
      </c>
      <c r="O34" s="330">
        <v>46595</v>
      </c>
      <c r="P34" s="329">
        <v>2.99396E-2</v>
      </c>
      <c r="Q34" s="329">
        <v>3.01324E-2</v>
      </c>
    </row>
    <row r="35" spans="2:17" ht="15" customHeight="1">
      <c r="B35" s="332" t="s">
        <v>387</v>
      </c>
      <c r="N35" s="326">
        <f t="shared" ref="N35:N66" si="1">YEAR(O35)</f>
        <v>2027</v>
      </c>
      <c r="O35" s="328">
        <v>46626</v>
      </c>
      <c r="P35" s="327">
        <v>3.0053400000000001E-2</v>
      </c>
      <c r="Q35" s="327">
        <v>3.02662E-2</v>
      </c>
    </row>
    <row r="36" spans="2:17" ht="15" customHeight="1">
      <c r="N36" s="326">
        <f t="shared" si="1"/>
        <v>2027</v>
      </c>
      <c r="O36" s="330">
        <v>46657</v>
      </c>
      <c r="P36" s="329">
        <v>3.0177099999999998E-2</v>
      </c>
      <c r="Q36" s="329">
        <v>3.03913E-2</v>
      </c>
    </row>
    <row r="37" spans="2:17" ht="15" customHeight="1">
      <c r="B37" s="332" t="s">
        <v>388</v>
      </c>
      <c r="N37" s="326">
        <f t="shared" si="1"/>
        <v>2027</v>
      </c>
      <c r="O37" s="328">
        <v>46687</v>
      </c>
      <c r="P37" s="327">
        <v>3.03211E-2</v>
      </c>
      <c r="Q37" s="327">
        <v>3.05303E-2</v>
      </c>
    </row>
    <row r="38" spans="2:17" ht="15" customHeight="1">
      <c r="B38" s="331" t="s">
        <v>389</v>
      </c>
      <c r="N38" s="326">
        <f t="shared" si="1"/>
        <v>2027</v>
      </c>
      <c r="O38" s="330">
        <v>46720</v>
      </c>
      <c r="P38" s="329">
        <v>3.0459400000000001E-2</v>
      </c>
      <c r="Q38" s="329">
        <v>3.0679700000000001E-2</v>
      </c>
    </row>
    <row r="39" spans="2:17" ht="15" customHeight="1">
      <c r="N39" s="326">
        <f t="shared" si="1"/>
        <v>2027</v>
      </c>
      <c r="O39" s="328">
        <v>46748</v>
      </c>
      <c r="P39" s="327">
        <v>3.0589100000000001E-2</v>
      </c>
      <c r="Q39" s="327">
        <v>3.0802599999999999E-2</v>
      </c>
    </row>
    <row r="40" spans="2:17" ht="15" customHeight="1">
      <c r="N40" s="326">
        <f t="shared" si="1"/>
        <v>2028</v>
      </c>
      <c r="O40" s="330">
        <v>46779</v>
      </c>
      <c r="P40" s="329">
        <v>3.0731999999999999E-2</v>
      </c>
      <c r="Q40" s="329">
        <v>3.0942500000000001E-2</v>
      </c>
    </row>
    <row r="41" spans="2:17" ht="15" customHeight="1">
      <c r="N41" s="326">
        <f t="shared" si="1"/>
        <v>2028</v>
      </c>
      <c r="O41" s="328">
        <v>46811</v>
      </c>
      <c r="P41" s="327">
        <v>3.0865E-2</v>
      </c>
      <c r="Q41" s="327">
        <v>3.1090199999999998E-2</v>
      </c>
    </row>
    <row r="42" spans="2:17" ht="15" customHeight="1">
      <c r="N42" s="326">
        <f t="shared" si="1"/>
        <v>2028</v>
      </c>
      <c r="O42" s="330">
        <v>46839</v>
      </c>
      <c r="P42" s="329">
        <v>3.0997500000000001E-2</v>
      </c>
      <c r="Q42" s="329">
        <v>3.1216000000000001E-2</v>
      </c>
    </row>
    <row r="43" spans="2:17" ht="15" customHeight="1">
      <c r="N43" s="326">
        <f t="shared" si="1"/>
        <v>2028</v>
      </c>
      <c r="O43" s="328">
        <v>46870</v>
      </c>
      <c r="P43" s="327">
        <v>3.1143299999999999E-2</v>
      </c>
      <c r="Q43" s="327">
        <v>3.1351499999999997E-2</v>
      </c>
    </row>
    <row r="44" spans="2:17" ht="15" customHeight="1">
      <c r="N44" s="326">
        <f t="shared" si="1"/>
        <v>2028</v>
      </c>
      <c r="O44" s="330">
        <v>46903</v>
      </c>
      <c r="P44" s="329">
        <v>3.1283400000000003E-2</v>
      </c>
      <c r="Q44" s="329">
        <v>3.15029E-2</v>
      </c>
    </row>
    <row r="45" spans="2:17" ht="15" customHeight="1">
      <c r="N45" s="326">
        <f t="shared" si="1"/>
        <v>2028</v>
      </c>
      <c r="O45" s="328">
        <v>46931</v>
      </c>
      <c r="P45" s="327">
        <v>3.1404599999999998E-2</v>
      </c>
      <c r="Q45" s="327">
        <v>3.1628099999999999E-2</v>
      </c>
    </row>
    <row r="46" spans="2:17" ht="15" customHeight="1">
      <c r="N46" s="326">
        <f t="shared" si="1"/>
        <v>2028</v>
      </c>
      <c r="O46" s="330">
        <v>46961</v>
      </c>
      <c r="P46" s="329">
        <v>3.1545200000000002E-2</v>
      </c>
      <c r="Q46" s="329">
        <v>3.1761999999999999E-2</v>
      </c>
    </row>
    <row r="47" spans="2:17" ht="15" customHeight="1">
      <c r="N47" s="326">
        <f t="shared" si="1"/>
        <v>2028</v>
      </c>
      <c r="O47" s="328">
        <v>46993</v>
      </c>
      <c r="P47" s="327">
        <v>3.1683700000000002E-2</v>
      </c>
      <c r="Q47" s="327">
        <v>3.1904500000000002E-2</v>
      </c>
    </row>
    <row r="48" spans="2:17" ht="15" customHeight="1">
      <c r="N48" s="326">
        <f t="shared" si="1"/>
        <v>2028</v>
      </c>
      <c r="O48" s="330">
        <v>47023</v>
      </c>
      <c r="P48" s="329">
        <v>3.1813000000000001E-2</v>
      </c>
      <c r="Q48" s="329">
        <v>3.2034E-2</v>
      </c>
    </row>
    <row r="49" spans="14:17" ht="15" customHeight="1">
      <c r="N49" s="326">
        <f t="shared" si="1"/>
        <v>2028</v>
      </c>
      <c r="O49" s="328">
        <v>47053</v>
      </c>
      <c r="P49" s="327">
        <v>3.1949199999999997E-2</v>
      </c>
      <c r="Q49" s="327">
        <v>3.2177200000000003E-2</v>
      </c>
    </row>
    <row r="50" spans="14:17" ht="15" customHeight="1">
      <c r="N50" s="326">
        <f t="shared" si="1"/>
        <v>2028</v>
      </c>
      <c r="O50" s="330">
        <v>47084</v>
      </c>
      <c r="P50" s="329">
        <v>3.2081600000000002E-2</v>
      </c>
      <c r="Q50" s="329">
        <v>3.2305800000000003E-2</v>
      </c>
    </row>
    <row r="51" spans="14:17" ht="15" customHeight="1">
      <c r="N51" s="326">
        <f t="shared" si="1"/>
        <v>2028</v>
      </c>
      <c r="O51" s="328">
        <v>47114</v>
      </c>
      <c r="P51" s="327">
        <v>3.22232E-2</v>
      </c>
      <c r="Q51" s="327">
        <v>3.2428999999999999E-2</v>
      </c>
    </row>
    <row r="52" spans="14:17" ht="15" customHeight="1">
      <c r="N52" s="326">
        <f t="shared" si="1"/>
        <v>2029</v>
      </c>
      <c r="O52" s="330">
        <v>47147</v>
      </c>
      <c r="P52" s="329">
        <v>3.2355000000000002E-2</v>
      </c>
      <c r="Q52" s="329">
        <v>3.2575E-2</v>
      </c>
    </row>
    <row r="53" spans="14:17" ht="15" customHeight="1">
      <c r="N53" s="326">
        <f t="shared" si="1"/>
        <v>2029</v>
      </c>
      <c r="O53" s="328">
        <v>47176</v>
      </c>
      <c r="P53" s="327">
        <v>3.24722E-2</v>
      </c>
      <c r="Q53" s="327">
        <v>3.2699100000000002E-2</v>
      </c>
    </row>
    <row r="54" spans="14:17" ht="15" customHeight="1">
      <c r="N54" s="326">
        <f t="shared" si="1"/>
        <v>2029</v>
      </c>
      <c r="O54" s="330">
        <v>47204</v>
      </c>
      <c r="P54" s="329">
        <v>3.2602199999999998E-2</v>
      </c>
      <c r="Q54" s="329">
        <v>3.2821700000000002E-2</v>
      </c>
    </row>
    <row r="55" spans="14:17" ht="15" customHeight="1">
      <c r="N55" s="326">
        <f t="shared" si="1"/>
        <v>2029</v>
      </c>
      <c r="O55" s="328">
        <v>47235</v>
      </c>
      <c r="P55" s="327">
        <v>3.2736800000000003E-2</v>
      </c>
      <c r="Q55" s="327">
        <v>3.29488E-2</v>
      </c>
    </row>
    <row r="56" spans="14:17" ht="15" customHeight="1">
      <c r="N56" s="326">
        <f t="shared" si="1"/>
        <v>2029</v>
      </c>
      <c r="O56" s="330">
        <v>47267</v>
      </c>
      <c r="P56" s="329">
        <v>3.2867399999999998E-2</v>
      </c>
      <c r="Q56" s="329">
        <v>3.3086299999999999E-2</v>
      </c>
    </row>
    <row r="57" spans="14:17" ht="15" customHeight="1">
      <c r="N57" s="326">
        <f t="shared" si="1"/>
        <v>2029</v>
      </c>
      <c r="O57" s="328">
        <v>47296</v>
      </c>
      <c r="P57" s="327">
        <v>3.29845E-2</v>
      </c>
      <c r="Q57" s="327">
        <v>3.3206600000000003E-2</v>
      </c>
    </row>
    <row r="58" spans="14:17" ht="15" customHeight="1">
      <c r="N58" s="326">
        <f t="shared" si="1"/>
        <v>2029</v>
      </c>
      <c r="O58" s="330">
        <v>47326</v>
      </c>
      <c r="P58" s="329">
        <v>3.31119E-2</v>
      </c>
      <c r="Q58" s="329">
        <v>3.33373E-2</v>
      </c>
    </row>
    <row r="59" spans="14:17" ht="15" customHeight="1">
      <c r="N59" s="326">
        <f t="shared" si="1"/>
        <v>2029</v>
      </c>
      <c r="O59" s="328">
        <v>47357</v>
      </c>
      <c r="P59" s="327">
        <v>3.3238900000000002E-2</v>
      </c>
      <c r="Q59" s="327">
        <v>3.3456899999999998E-2</v>
      </c>
    </row>
    <row r="60" spans="14:17" ht="15" customHeight="1">
      <c r="N60" s="326">
        <f t="shared" si="1"/>
        <v>2029</v>
      </c>
      <c r="O60" s="330">
        <v>47388</v>
      </c>
      <c r="P60" s="329">
        <v>3.3368399999999999E-2</v>
      </c>
      <c r="Q60" s="329">
        <v>3.3579499999999998E-2</v>
      </c>
    </row>
    <row r="61" spans="14:17" ht="15" customHeight="1">
      <c r="N61" s="326">
        <f t="shared" si="1"/>
        <v>2029</v>
      </c>
      <c r="O61" s="328">
        <v>47420</v>
      </c>
      <c r="P61" s="327">
        <v>3.3494000000000003E-2</v>
      </c>
      <c r="Q61" s="327">
        <v>3.37135E-2</v>
      </c>
    </row>
    <row r="62" spans="14:17" ht="15" customHeight="1">
      <c r="N62" s="326">
        <f t="shared" si="1"/>
        <v>2029</v>
      </c>
      <c r="O62" s="330">
        <v>47449</v>
      </c>
      <c r="P62" s="329">
        <v>3.3607699999999997E-2</v>
      </c>
      <c r="Q62" s="329">
        <v>3.3832099999999997E-2</v>
      </c>
    </row>
    <row r="63" spans="14:17" ht="15" customHeight="1">
      <c r="N63" s="326">
        <f t="shared" si="1"/>
        <v>2029</v>
      </c>
      <c r="O63" s="328">
        <v>47479</v>
      </c>
      <c r="P63" s="327">
        <v>3.3737000000000003E-2</v>
      </c>
      <c r="Q63" s="327">
        <v>3.3948100000000002E-2</v>
      </c>
    </row>
    <row r="64" spans="14:17" ht="15" customHeight="1">
      <c r="N64" s="326">
        <f t="shared" si="1"/>
        <v>2030</v>
      </c>
      <c r="O64" s="330">
        <v>47511</v>
      </c>
      <c r="P64" s="329">
        <v>3.3864199999999997E-2</v>
      </c>
      <c r="Q64" s="329">
        <v>3.4084000000000003E-2</v>
      </c>
    </row>
    <row r="65" spans="14:17" ht="15" customHeight="1">
      <c r="N65" s="326">
        <f t="shared" si="1"/>
        <v>2030</v>
      </c>
      <c r="O65" s="328">
        <v>47541</v>
      </c>
      <c r="P65" s="327">
        <v>3.39765E-2</v>
      </c>
      <c r="Q65" s="327">
        <v>3.4204900000000003E-2</v>
      </c>
    </row>
    <row r="66" spans="14:17" ht="15" customHeight="1">
      <c r="N66" s="326">
        <f t="shared" si="1"/>
        <v>2030</v>
      </c>
      <c r="O66" s="330">
        <v>47569</v>
      </c>
      <c r="P66" s="329">
        <v>3.4110399999999999E-2</v>
      </c>
      <c r="Q66" s="329">
        <v>3.4329100000000001E-2</v>
      </c>
    </row>
    <row r="67" spans="14:17" ht="15" customHeight="1">
      <c r="N67" s="326">
        <f t="shared" ref="N67:N98" si="2">YEAR(O67)</f>
        <v>2030</v>
      </c>
      <c r="O67" s="328">
        <v>47602</v>
      </c>
      <c r="P67" s="327">
        <v>3.4236200000000001E-2</v>
      </c>
      <c r="Q67" s="327">
        <v>3.4463800000000003E-2</v>
      </c>
    </row>
    <row r="68" spans="14:17" ht="15" customHeight="1">
      <c r="N68" s="326">
        <f t="shared" si="2"/>
        <v>2030</v>
      </c>
      <c r="O68" s="330">
        <v>47631</v>
      </c>
      <c r="P68" s="329">
        <v>3.43609E-2</v>
      </c>
      <c r="Q68" s="329">
        <v>3.4589700000000001E-2</v>
      </c>
    </row>
    <row r="69" spans="14:17" ht="15" customHeight="1">
      <c r="N69" s="326">
        <f t="shared" si="2"/>
        <v>2030</v>
      </c>
      <c r="O69" s="328">
        <v>47661</v>
      </c>
      <c r="P69" s="327">
        <v>3.4490300000000002E-2</v>
      </c>
      <c r="Q69" s="327">
        <v>3.4716799999999999E-2</v>
      </c>
    </row>
    <row r="70" spans="14:17" ht="15" customHeight="1">
      <c r="N70" s="326">
        <f t="shared" si="2"/>
        <v>2030</v>
      </c>
      <c r="O70" s="330">
        <v>47693</v>
      </c>
      <c r="P70" s="329">
        <v>3.4621300000000001E-2</v>
      </c>
      <c r="Q70" s="329">
        <v>3.4853000000000002E-2</v>
      </c>
    </row>
    <row r="71" spans="14:17" ht="15" customHeight="1">
      <c r="N71" s="326">
        <f t="shared" si="2"/>
        <v>2030</v>
      </c>
      <c r="O71" s="328">
        <v>47722</v>
      </c>
      <c r="P71" s="327">
        <v>3.4743999999999997E-2</v>
      </c>
      <c r="Q71" s="327">
        <v>3.4976899999999998E-2</v>
      </c>
    </row>
    <row r="72" spans="14:17" ht="15" customHeight="1">
      <c r="N72" s="326">
        <f t="shared" si="2"/>
        <v>2030</v>
      </c>
      <c r="O72" s="330">
        <v>47753</v>
      </c>
      <c r="P72" s="329">
        <v>3.4875700000000003E-2</v>
      </c>
      <c r="Q72" s="329">
        <v>3.5105600000000001E-2</v>
      </c>
    </row>
    <row r="73" spans="14:17" ht="15" customHeight="1">
      <c r="N73" s="326">
        <f t="shared" si="2"/>
        <v>2030</v>
      </c>
      <c r="O73" s="328">
        <v>47784</v>
      </c>
      <c r="P73" s="327">
        <v>3.50117E-2</v>
      </c>
      <c r="Q73" s="327">
        <v>3.5241700000000001E-2</v>
      </c>
    </row>
    <row r="74" spans="14:17" ht="15" customHeight="1">
      <c r="N74" s="326">
        <f t="shared" si="2"/>
        <v>2030</v>
      </c>
      <c r="O74" s="330">
        <v>47814</v>
      </c>
      <c r="P74" s="329">
        <v>3.51314E-2</v>
      </c>
      <c r="Q74" s="329">
        <v>3.5368799999999999E-2</v>
      </c>
    </row>
    <row r="75" spans="14:17" ht="15" customHeight="1">
      <c r="N75" s="326">
        <f t="shared" si="2"/>
        <v>2030</v>
      </c>
      <c r="O75" s="328">
        <v>47844</v>
      </c>
      <c r="P75" s="327">
        <v>3.5261599999999997E-2</v>
      </c>
      <c r="Q75" s="327">
        <v>3.5487499999999998E-2</v>
      </c>
    </row>
    <row r="76" spans="14:17" ht="15" customHeight="1">
      <c r="N76" s="326">
        <f t="shared" si="2"/>
        <v>2031</v>
      </c>
      <c r="O76" s="330">
        <v>47875</v>
      </c>
      <c r="P76" s="329">
        <v>3.5391300000000001E-2</v>
      </c>
      <c r="Q76" s="329">
        <v>3.5620899999999997E-2</v>
      </c>
    </row>
    <row r="77" spans="14:17" ht="15" customHeight="1">
      <c r="N77" s="326">
        <f t="shared" si="2"/>
        <v>2031</v>
      </c>
      <c r="O77" s="328">
        <v>47906</v>
      </c>
      <c r="P77" s="327">
        <v>3.5508600000000001E-2</v>
      </c>
      <c r="Q77" s="327">
        <v>3.57419E-2</v>
      </c>
    </row>
    <row r="78" spans="14:17" ht="15" customHeight="1">
      <c r="N78" s="326">
        <f t="shared" si="2"/>
        <v>2031</v>
      </c>
      <c r="O78" s="330">
        <v>47934</v>
      </c>
      <c r="P78" s="329">
        <v>3.5639499999999998E-2</v>
      </c>
      <c r="Q78" s="329">
        <v>3.5868799999999999E-2</v>
      </c>
    </row>
    <row r="79" spans="14:17" ht="15" customHeight="1">
      <c r="N79" s="326">
        <f t="shared" si="2"/>
        <v>2031</v>
      </c>
      <c r="O79" s="328">
        <v>47966</v>
      </c>
      <c r="P79" s="327">
        <v>3.5763000000000003E-2</v>
      </c>
      <c r="Q79" s="327">
        <v>3.5996E-2</v>
      </c>
    </row>
    <row r="80" spans="14:17" ht="15" customHeight="1">
      <c r="N80" s="326">
        <f t="shared" si="2"/>
        <v>2031</v>
      </c>
      <c r="O80" s="330">
        <v>47995</v>
      </c>
      <c r="P80" s="329">
        <v>3.5884800000000001E-2</v>
      </c>
      <c r="Q80" s="329">
        <v>3.61176E-2</v>
      </c>
    </row>
    <row r="81" spans="14:17" ht="15" customHeight="1">
      <c r="N81" s="326">
        <f t="shared" si="2"/>
        <v>2031</v>
      </c>
      <c r="O81" s="328">
        <v>48026</v>
      </c>
      <c r="P81" s="327">
        <v>3.601E-2</v>
      </c>
      <c r="Q81" s="327">
        <v>3.6250400000000002E-2</v>
      </c>
    </row>
    <row r="82" spans="14:17" ht="15" customHeight="1">
      <c r="N82" s="326">
        <f t="shared" si="2"/>
        <v>2031</v>
      </c>
      <c r="O82" s="330">
        <v>48057</v>
      </c>
      <c r="P82" s="329">
        <v>3.6134300000000001E-2</v>
      </c>
      <c r="Q82" s="329">
        <v>3.6366900000000001E-2</v>
      </c>
    </row>
    <row r="83" spans="14:17" ht="15" customHeight="1">
      <c r="N83" s="326">
        <f t="shared" si="2"/>
        <v>2031</v>
      </c>
      <c r="O83" s="328">
        <v>48087</v>
      </c>
      <c r="P83" s="327">
        <v>3.6261300000000003E-2</v>
      </c>
      <c r="Q83" s="327">
        <v>3.6490000000000002E-2</v>
      </c>
    </row>
    <row r="84" spans="14:17" ht="15" customHeight="1">
      <c r="N84" s="326">
        <f t="shared" si="2"/>
        <v>2031</v>
      </c>
      <c r="O84" s="330">
        <v>48120</v>
      </c>
      <c r="P84" s="329">
        <v>3.6380299999999997E-2</v>
      </c>
      <c r="Q84" s="329">
        <v>3.6612600000000002E-2</v>
      </c>
    </row>
    <row r="85" spans="14:17" ht="15" customHeight="1">
      <c r="N85" s="326">
        <f t="shared" si="2"/>
        <v>2031</v>
      </c>
      <c r="O85" s="328">
        <v>48148</v>
      </c>
      <c r="P85" s="327">
        <v>3.6497700000000001E-2</v>
      </c>
      <c r="Q85" s="327">
        <v>3.6726000000000002E-2</v>
      </c>
    </row>
    <row r="86" spans="14:17" ht="15" customHeight="1">
      <c r="N86" s="326">
        <f t="shared" si="2"/>
        <v>2031</v>
      </c>
      <c r="O86" s="330">
        <v>48180</v>
      </c>
      <c r="P86" s="329">
        <v>3.6618499999999998E-2</v>
      </c>
      <c r="Q86" s="329">
        <v>3.68466E-2</v>
      </c>
    </row>
    <row r="87" spans="14:17" ht="15" customHeight="1">
      <c r="N87" s="326">
        <f t="shared" si="2"/>
        <v>2031</v>
      </c>
      <c r="O87" s="328">
        <v>48211</v>
      </c>
      <c r="P87" s="327">
        <v>3.6738199999999999E-2</v>
      </c>
      <c r="Q87" s="327">
        <v>3.6966199999999998E-2</v>
      </c>
    </row>
    <row r="88" spans="14:17" ht="15" customHeight="1">
      <c r="N88" s="326">
        <f t="shared" si="2"/>
        <v>2032</v>
      </c>
      <c r="O88" s="330">
        <v>48240</v>
      </c>
      <c r="P88" s="329">
        <v>3.6849399999999997E-2</v>
      </c>
      <c r="Q88" s="329">
        <v>3.7077300000000001E-2</v>
      </c>
    </row>
    <row r="89" spans="14:17" ht="15" customHeight="1">
      <c r="N89" s="326">
        <f t="shared" si="2"/>
        <v>2032</v>
      </c>
      <c r="O89" s="328">
        <v>48271</v>
      </c>
      <c r="P89" s="327">
        <v>3.6967399999999997E-2</v>
      </c>
      <c r="Q89" s="327">
        <v>3.7191200000000001E-2</v>
      </c>
    </row>
    <row r="90" spans="14:17" ht="15" customHeight="1">
      <c r="N90" s="326">
        <f t="shared" si="2"/>
        <v>2032</v>
      </c>
      <c r="O90" s="330">
        <v>48302</v>
      </c>
      <c r="P90" s="329">
        <v>3.7084399999999997E-2</v>
      </c>
      <c r="Q90" s="329">
        <v>3.73157E-2</v>
      </c>
    </row>
    <row r="91" spans="14:17" ht="15" customHeight="1">
      <c r="N91" s="326">
        <f t="shared" si="2"/>
        <v>2032</v>
      </c>
      <c r="O91" s="328">
        <v>48331</v>
      </c>
      <c r="P91" s="327">
        <v>3.7189300000000002E-2</v>
      </c>
      <c r="Q91" s="327">
        <v>3.7420399999999999E-2</v>
      </c>
    </row>
    <row r="92" spans="14:17" ht="15" customHeight="1">
      <c r="N92" s="326">
        <f t="shared" si="2"/>
        <v>2032</v>
      </c>
      <c r="O92" s="330">
        <v>48361</v>
      </c>
      <c r="P92" s="329">
        <v>3.7308399999999999E-2</v>
      </c>
      <c r="Q92" s="329">
        <v>3.7535600000000002E-2</v>
      </c>
    </row>
    <row r="93" spans="14:17" ht="15" customHeight="1">
      <c r="N93" s="326">
        <f t="shared" si="2"/>
        <v>2032</v>
      </c>
      <c r="O93" s="328">
        <v>48393</v>
      </c>
      <c r="P93" s="327">
        <v>3.7418899999999998E-2</v>
      </c>
      <c r="Q93" s="327">
        <v>3.7653399999999997E-2</v>
      </c>
    </row>
    <row r="94" spans="14:17" ht="15" customHeight="1">
      <c r="N94" s="326">
        <f t="shared" si="2"/>
        <v>2032</v>
      </c>
      <c r="O94" s="330">
        <v>48422</v>
      </c>
      <c r="P94" s="329">
        <v>3.7528800000000001E-2</v>
      </c>
      <c r="Q94" s="329">
        <v>3.7759399999999999E-2</v>
      </c>
    </row>
    <row r="95" spans="14:17" ht="15" customHeight="1">
      <c r="N95" s="326">
        <f t="shared" si="2"/>
        <v>2032</v>
      </c>
      <c r="O95" s="328">
        <v>48453</v>
      </c>
      <c r="P95" s="327">
        <v>3.7641300000000003E-2</v>
      </c>
      <c r="Q95" s="327">
        <v>3.7879299999999998E-2</v>
      </c>
    </row>
    <row r="96" spans="14:17" ht="15" customHeight="1">
      <c r="N96" s="326">
        <f t="shared" si="2"/>
        <v>2032</v>
      </c>
      <c r="O96" s="330">
        <v>48484</v>
      </c>
      <c r="P96" s="329">
        <v>3.7749199999999997E-2</v>
      </c>
      <c r="Q96" s="329">
        <v>3.7979600000000002E-2</v>
      </c>
    </row>
    <row r="97" spans="14:17" ht="15" customHeight="1">
      <c r="N97" s="326">
        <f t="shared" si="2"/>
        <v>2032</v>
      </c>
      <c r="O97" s="328">
        <v>48514</v>
      </c>
      <c r="P97" s="327">
        <v>3.7867699999999997E-2</v>
      </c>
      <c r="Q97" s="327">
        <v>3.8090899999999997E-2</v>
      </c>
    </row>
    <row r="98" spans="14:17" ht="15" customHeight="1">
      <c r="N98" s="326">
        <f t="shared" si="2"/>
        <v>2032</v>
      </c>
      <c r="O98" s="330">
        <v>48547</v>
      </c>
      <c r="P98" s="329">
        <v>3.7973899999999998E-2</v>
      </c>
      <c r="Q98" s="329">
        <v>3.82049E-2</v>
      </c>
    </row>
    <row r="99" spans="14:17" ht="15" customHeight="1">
      <c r="N99" s="326">
        <f t="shared" ref="N99:N130" si="3">YEAR(O99)</f>
        <v>2032</v>
      </c>
      <c r="O99" s="328">
        <v>48575</v>
      </c>
      <c r="P99" s="327">
        <v>3.8077E-2</v>
      </c>
      <c r="Q99" s="327">
        <v>3.8304499999999998E-2</v>
      </c>
    </row>
    <row r="100" spans="14:17" ht="15" customHeight="1">
      <c r="N100" s="326">
        <f t="shared" si="3"/>
        <v>2033</v>
      </c>
      <c r="O100" s="330">
        <v>48606</v>
      </c>
      <c r="P100" s="329">
        <v>3.8190399999999999E-2</v>
      </c>
      <c r="Q100" s="329">
        <v>3.8410699999999999E-2</v>
      </c>
    </row>
    <row r="101" spans="14:17" ht="15" customHeight="1">
      <c r="N101" s="326">
        <f t="shared" si="3"/>
        <v>2033</v>
      </c>
      <c r="O101" s="328">
        <v>48638</v>
      </c>
      <c r="P101" s="327">
        <v>3.82879E-2</v>
      </c>
      <c r="Q101" s="327">
        <v>3.8531299999999997E-2</v>
      </c>
    </row>
    <row r="102" spans="14:17" ht="15" customHeight="1">
      <c r="N102" s="326">
        <f t="shared" si="3"/>
        <v>2033</v>
      </c>
      <c r="O102" s="330">
        <v>48666</v>
      </c>
      <c r="P102" s="329">
        <v>3.8397599999999997E-2</v>
      </c>
      <c r="Q102" s="329">
        <v>3.8629900000000002E-2</v>
      </c>
    </row>
    <row r="103" spans="14:17" ht="15" customHeight="1">
      <c r="N103" s="326">
        <f t="shared" si="3"/>
        <v>2033</v>
      </c>
      <c r="O103" s="328">
        <v>48696</v>
      </c>
      <c r="P103" s="327">
        <v>3.84988E-2</v>
      </c>
      <c r="Q103" s="327">
        <v>3.8731399999999999E-2</v>
      </c>
    </row>
    <row r="104" spans="14:17" ht="15" customHeight="1">
      <c r="N104" s="326">
        <f t="shared" si="3"/>
        <v>2033</v>
      </c>
      <c r="O104" s="330">
        <v>48726</v>
      </c>
      <c r="P104" s="329">
        <v>3.8607200000000001E-2</v>
      </c>
      <c r="Q104" s="329">
        <v>3.8847800000000002E-2</v>
      </c>
    </row>
    <row r="105" spans="14:17" ht="15" customHeight="1">
      <c r="N105" s="326">
        <f t="shared" si="3"/>
        <v>2033</v>
      </c>
      <c r="O105" s="328">
        <v>48757</v>
      </c>
      <c r="P105" s="327">
        <v>3.8711099999999998E-2</v>
      </c>
      <c r="Q105" s="327">
        <v>3.8948200000000002E-2</v>
      </c>
    </row>
    <row r="106" spans="14:17" ht="15" customHeight="1">
      <c r="N106" s="326">
        <f t="shared" si="3"/>
        <v>2033</v>
      </c>
      <c r="O106" s="330">
        <v>48787</v>
      </c>
      <c r="P106" s="329">
        <v>3.8826399999999997E-2</v>
      </c>
      <c r="Q106" s="329">
        <v>3.9052299999999998E-2</v>
      </c>
    </row>
    <row r="107" spans="14:17" ht="15" customHeight="1">
      <c r="N107" s="326">
        <f t="shared" si="3"/>
        <v>2033</v>
      </c>
      <c r="O107" s="328">
        <v>48820</v>
      </c>
      <c r="P107" s="327">
        <v>3.8932599999999998E-2</v>
      </c>
      <c r="Q107" s="327">
        <v>3.91665E-2</v>
      </c>
    </row>
    <row r="108" spans="14:17" ht="15" customHeight="1">
      <c r="N108" s="326">
        <f t="shared" si="3"/>
        <v>2033</v>
      </c>
      <c r="O108" s="330">
        <v>48849</v>
      </c>
      <c r="P108" s="329">
        <v>3.9028399999999998E-2</v>
      </c>
      <c r="Q108" s="329">
        <v>3.9262699999999998E-2</v>
      </c>
    </row>
    <row r="109" spans="14:17" ht="15" customHeight="1">
      <c r="N109" s="326">
        <f t="shared" si="3"/>
        <v>2033</v>
      </c>
      <c r="O109" s="328">
        <v>48879</v>
      </c>
      <c r="P109" s="327">
        <v>3.9138899999999997E-2</v>
      </c>
      <c r="Q109" s="327">
        <v>3.9369599999999998E-2</v>
      </c>
    </row>
    <row r="110" spans="14:17" ht="15" customHeight="1">
      <c r="N110" s="326">
        <f t="shared" si="3"/>
        <v>2033</v>
      </c>
      <c r="O110" s="330">
        <v>48911</v>
      </c>
      <c r="P110" s="329">
        <v>3.9240400000000002E-2</v>
      </c>
      <c r="Q110" s="329">
        <v>3.9479100000000003E-2</v>
      </c>
    </row>
    <row r="111" spans="14:17" ht="15" customHeight="1">
      <c r="N111" s="326">
        <f t="shared" si="3"/>
        <v>2033</v>
      </c>
      <c r="O111" s="328">
        <v>48940</v>
      </c>
      <c r="P111" s="327">
        <v>3.9342799999999997E-2</v>
      </c>
      <c r="Q111" s="327">
        <v>3.9570300000000003E-2</v>
      </c>
    </row>
    <row r="112" spans="14:17" ht="15" customHeight="1">
      <c r="N112" s="326">
        <f t="shared" si="3"/>
        <v>2034</v>
      </c>
      <c r="O112" s="330">
        <v>48971</v>
      </c>
      <c r="P112" s="329">
        <v>3.9447900000000001E-2</v>
      </c>
      <c r="Q112" s="329">
        <v>3.9675700000000001E-2</v>
      </c>
    </row>
    <row r="113" spans="14:17" ht="15" customHeight="1">
      <c r="N113" s="326">
        <f t="shared" si="3"/>
        <v>2034</v>
      </c>
      <c r="O113" s="328">
        <v>49002</v>
      </c>
      <c r="P113" s="327">
        <v>3.9541E-2</v>
      </c>
      <c r="Q113" s="327">
        <v>3.9788400000000002E-2</v>
      </c>
    </row>
    <row r="114" spans="14:17" ht="15" customHeight="1">
      <c r="N114" s="326">
        <f t="shared" si="3"/>
        <v>2034</v>
      </c>
      <c r="O114" s="330">
        <v>49030</v>
      </c>
      <c r="P114" s="329">
        <v>3.96467E-2</v>
      </c>
      <c r="Q114" s="329">
        <v>3.9882899999999999E-2</v>
      </c>
    </row>
    <row r="115" spans="14:17" ht="15" customHeight="1">
      <c r="N115" s="326">
        <f t="shared" si="3"/>
        <v>2034</v>
      </c>
      <c r="O115" s="328">
        <v>49061</v>
      </c>
      <c r="P115" s="327">
        <v>3.9758399999999999E-2</v>
      </c>
      <c r="Q115" s="327">
        <v>3.9983200000000003E-2</v>
      </c>
    </row>
    <row r="116" spans="14:17" ht="15" customHeight="1">
      <c r="N116" s="326">
        <f t="shared" si="3"/>
        <v>2034</v>
      </c>
      <c r="O116" s="330">
        <v>49094</v>
      </c>
      <c r="P116" s="329">
        <v>3.9860899999999998E-2</v>
      </c>
      <c r="Q116" s="329">
        <v>4.0097599999999997E-2</v>
      </c>
    </row>
    <row r="117" spans="14:17" ht="15" customHeight="1">
      <c r="N117" s="326">
        <f t="shared" si="3"/>
        <v>2034</v>
      </c>
      <c r="O117" s="328">
        <v>49122</v>
      </c>
      <c r="P117" s="327">
        <v>3.9950100000000002E-2</v>
      </c>
      <c r="Q117" s="327">
        <v>4.01911E-2</v>
      </c>
    </row>
    <row r="118" spans="14:17" ht="15" customHeight="1">
      <c r="N118" s="326">
        <f t="shared" si="3"/>
        <v>2034</v>
      </c>
      <c r="O118" s="330">
        <v>49152</v>
      </c>
      <c r="P118" s="329">
        <v>4.00574E-2</v>
      </c>
      <c r="Q118" s="329">
        <v>4.0290899999999998E-2</v>
      </c>
    </row>
    <row r="119" spans="14:17" ht="15" customHeight="1">
      <c r="N119" s="326">
        <f t="shared" si="3"/>
        <v>2034</v>
      </c>
      <c r="O119" s="328">
        <v>49184</v>
      </c>
      <c r="P119" s="327">
        <v>4.0159199999999999E-2</v>
      </c>
      <c r="Q119" s="327">
        <v>4.0396899999999999E-2</v>
      </c>
    </row>
    <row r="120" spans="14:17" ht="15" customHeight="1">
      <c r="N120" s="326">
        <f t="shared" si="3"/>
        <v>2034</v>
      </c>
      <c r="O120" s="330">
        <v>49214</v>
      </c>
      <c r="P120" s="329">
        <v>4.0253999999999998E-2</v>
      </c>
      <c r="Q120" s="329">
        <v>4.0492E-2</v>
      </c>
    </row>
    <row r="121" spans="14:17" ht="15" customHeight="1">
      <c r="N121" s="326">
        <f t="shared" si="3"/>
        <v>2034</v>
      </c>
      <c r="O121" s="328">
        <v>49244</v>
      </c>
      <c r="P121" s="327">
        <v>4.0356200000000002E-2</v>
      </c>
      <c r="Q121" s="327">
        <v>4.0602399999999997E-2</v>
      </c>
    </row>
    <row r="122" spans="14:17" ht="15" customHeight="1">
      <c r="N122" s="326">
        <f t="shared" si="3"/>
        <v>2034</v>
      </c>
      <c r="O122" s="330">
        <v>49275</v>
      </c>
      <c r="P122" s="329">
        <v>4.0453599999999999E-2</v>
      </c>
      <c r="Q122" s="329">
        <v>4.0696099999999999E-2</v>
      </c>
    </row>
    <row r="123" spans="14:17" ht="15" customHeight="1">
      <c r="N123" s="326">
        <f t="shared" si="3"/>
        <v>2034</v>
      </c>
      <c r="O123" s="328">
        <v>49305</v>
      </c>
      <c r="P123" s="327">
        <v>4.0562899999999999E-2</v>
      </c>
      <c r="Q123" s="327">
        <v>4.0786200000000002E-2</v>
      </c>
    </row>
    <row r="124" spans="14:17" ht="15" customHeight="1">
      <c r="N124" s="326">
        <f t="shared" si="3"/>
        <v>2035</v>
      </c>
      <c r="O124" s="330">
        <v>49338</v>
      </c>
      <c r="P124" s="329">
        <v>4.0658199999999999E-2</v>
      </c>
      <c r="Q124" s="329">
        <v>4.08974E-2</v>
      </c>
    </row>
    <row r="125" spans="14:17" ht="15" customHeight="1">
      <c r="N125" s="326">
        <f t="shared" si="3"/>
        <v>2035</v>
      </c>
      <c r="O125" s="328">
        <v>49367</v>
      </c>
      <c r="P125" s="327">
        <v>4.0744000000000002E-2</v>
      </c>
      <c r="Q125" s="327">
        <v>4.0991300000000001E-2</v>
      </c>
    </row>
    <row r="126" spans="14:17" ht="15" customHeight="1">
      <c r="N126" s="326">
        <f t="shared" si="3"/>
        <v>2035</v>
      </c>
      <c r="O126" s="330">
        <v>49395</v>
      </c>
      <c r="P126" s="329">
        <v>4.0845800000000002E-2</v>
      </c>
      <c r="Q126" s="329">
        <v>4.10856E-2</v>
      </c>
    </row>
    <row r="127" spans="14:17" ht="15" customHeight="1">
      <c r="N127" s="326">
        <f t="shared" si="3"/>
        <v>2035</v>
      </c>
      <c r="O127" s="328">
        <v>49426</v>
      </c>
      <c r="P127" s="327">
        <v>4.0949100000000002E-2</v>
      </c>
      <c r="Q127" s="327">
        <v>4.1181299999999997E-2</v>
      </c>
    </row>
    <row r="128" spans="14:17" ht="15" customHeight="1">
      <c r="N128" s="326">
        <f t="shared" si="3"/>
        <v>2035</v>
      </c>
      <c r="O128" s="330">
        <v>49458</v>
      </c>
      <c r="P128" s="329">
        <v>4.1047300000000002E-2</v>
      </c>
      <c r="Q128" s="329">
        <v>4.12878E-2</v>
      </c>
    </row>
    <row r="129" spans="14:17" ht="15" customHeight="1">
      <c r="N129" s="326">
        <f t="shared" si="3"/>
        <v>2035</v>
      </c>
      <c r="O129" s="328">
        <v>49487</v>
      </c>
      <c r="P129" s="327">
        <v>4.1135600000000001E-2</v>
      </c>
      <c r="Q129" s="327">
        <v>4.1380300000000002E-2</v>
      </c>
    </row>
    <row r="130" spans="14:17" ht="15" customHeight="1">
      <c r="N130" s="326">
        <f t="shared" si="3"/>
        <v>2035</v>
      </c>
      <c r="O130" s="330">
        <v>49517</v>
      </c>
      <c r="P130" s="329">
        <v>4.1234600000000003E-2</v>
      </c>
      <c r="Q130" s="329">
        <v>4.1483600000000002E-2</v>
      </c>
    </row>
    <row r="131" spans="14:17" ht="15" customHeight="1">
      <c r="N131" s="326">
        <f t="shared" ref="N131:N162" si="4">YEAR(O131)</f>
        <v>2035</v>
      </c>
      <c r="O131" s="328">
        <v>49548</v>
      </c>
      <c r="P131" s="327">
        <v>4.1332500000000001E-2</v>
      </c>
      <c r="Q131" s="327">
        <v>4.1573699999999998E-2</v>
      </c>
    </row>
    <row r="132" spans="14:17" ht="15" customHeight="1">
      <c r="N132" s="326">
        <f t="shared" si="4"/>
        <v>2035</v>
      </c>
      <c r="O132" s="330">
        <v>49579</v>
      </c>
      <c r="P132" s="329">
        <v>4.1433900000000003E-2</v>
      </c>
      <c r="Q132" s="329">
        <v>4.1666799999999997E-2</v>
      </c>
    </row>
    <row r="133" spans="14:17" ht="15" customHeight="1">
      <c r="N133" s="326">
        <f t="shared" si="4"/>
        <v>2035</v>
      </c>
      <c r="O133" s="328">
        <v>49611</v>
      </c>
      <c r="P133" s="327">
        <v>4.1529799999999999E-2</v>
      </c>
      <c r="Q133" s="327">
        <v>4.1769300000000002E-2</v>
      </c>
    </row>
  </sheetData>
  <hyperlinks>
    <hyperlink ref="B38" r:id="rId1" tooltip="Click to visit Company0667 Rates" xr:uid="{00000000-0004-0000-0500-000000000000}"/>
  </hyperlinks>
  <pageMargins left="0.75" right="0.75" top="1" bottom="1" header="0.5" footer="0.5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9</vt:i4>
      </vt:variant>
    </vt:vector>
  </HeadingPairs>
  <TitlesOfParts>
    <vt:vector size="15" baseType="lpstr">
      <vt:lpstr>Model Summary</vt:lpstr>
      <vt:lpstr>Operating Build</vt:lpstr>
      <vt:lpstr>Revenue Build</vt:lpstr>
      <vt:lpstr>Margin Build vF</vt:lpstr>
      <vt:lpstr>Top Customer Data</vt:lpstr>
      <vt:lpstr>SOFR</vt:lpstr>
      <vt:lpstr>CIRCULARITY</vt:lpstr>
      <vt:lpstr>CRT</vt:lpstr>
      <vt:lpstr>GrowthCase</vt:lpstr>
      <vt:lpstr>Mergers</vt:lpstr>
      <vt:lpstr>MultipleExpansion</vt:lpstr>
      <vt:lpstr>'Model Summary'!Print_Area</vt:lpstr>
      <vt:lpstr>'Operating Build'!Print_Area</vt:lpstr>
      <vt:lpstr>SOFR</vt:lpstr>
      <vt:lpstr>XSell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