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k-3-Statements" sheetId="1" r:id="rId4"/>
  </sheets>
  <definedNames>
    <definedName name="Cash_Interest_Rate">'Frank-3-Statements'!#REF!</definedName>
    <definedName name="Debt_Interest_Rate">'Frank-3-Statements'!#REF!</definedName>
    <definedName name="GM_Improv">'Frank-3-Statements'!#REF!</definedName>
    <definedName name="Share_Price">'Frank-3-Statements'!#REF!</definedName>
    <definedName name="Tax_Rate">'Frank-3-Statements'!#REF!</definedName>
    <definedName name="Hist_Yr">'Frank-3-Statements'!$D$8</definedName>
    <definedName name="Company_Name">'Frank-3-Statements'!$D$7</definedName>
  </definedNames>
  <calcPr/>
  <extLst>
    <ext uri="GoogleSheetsCustomDataVersion2">
      <go:sheetsCustomData xmlns:go="http://customooxmlschemas.google.com/" r:id="rId5" roundtripDataChecksum="B0p/CeMeEIXEekffjGIOTPCZGP6FliSMF2bfzhqsk3o="/>
    </ext>
  </extLst>
</workbook>
</file>

<file path=xl/sharedStrings.xml><?xml version="1.0" encoding="utf-8"?>
<sst xmlns="http://schemas.openxmlformats.org/spreadsheetml/2006/main" count="285" uniqueCount="151">
  <si>
    <t>(£ in Millions GBP Except Per Share and Per Unit Data)</t>
  </si>
  <si>
    <t>INSTRUCTIONS AND ASSUMPTIONS:</t>
  </si>
  <si>
    <t>Company Name:</t>
  </si>
  <si>
    <t>Frank Recruitment Group Limited</t>
  </si>
  <si>
    <t>Initial Equity Investment:</t>
  </si>
  <si>
    <t>Last Historical Year:</t>
  </si>
  <si>
    <t>% Stake Acquired:</t>
  </si>
  <si>
    <t>Use the following template and assumptions to build a 3-statement projection model over 5 years for the Frank Recruitment Group, a niche IT-focused</t>
  </si>
  <si>
    <t xml:space="preserve">recruitment agency based in the U.K. You will use your model to evaluate the IRR and MoM multiples that a private equity or growth equity firm might expect </t>
  </si>
  <si>
    <t>from a growth equity investment in this company.</t>
  </si>
  <si>
    <t>Historical</t>
  </si>
  <si>
    <t>Projected</t>
  </si>
  <si>
    <t>Summary &amp; Returns:</t>
  </si>
  <si>
    <t>Units:</t>
  </si>
  <si>
    <t>Financial Statistics and Credit Stats and Ratios:</t>
  </si>
  <si>
    <t>Turnover:</t>
  </si>
  <si>
    <t>£ M</t>
  </si>
  <si>
    <t>Growth Rate:</t>
  </si>
  <si>
    <t>%</t>
  </si>
  <si>
    <t>EBITDA:</t>
  </si>
  <si>
    <t>Margin:</t>
  </si>
  <si>
    <t>Interest Expense:</t>
  </si>
  <si>
    <t>Cash Interest Expense:</t>
  </si>
  <si>
    <t>Total Debt:</t>
  </si>
  <si>
    <t>Net Debt:</t>
  </si>
  <si>
    <t>EBITDA / Interest:</t>
  </si>
  <si>
    <t>x</t>
  </si>
  <si>
    <t>EBITDA / Cash Interest:</t>
  </si>
  <si>
    <t>Total Debt / EBITDA:</t>
  </si>
  <si>
    <t>Net Debt / EBITDA:</t>
  </si>
  <si>
    <t>Money-on-Money (MoM) Multiples and Internal Rate of Return (IRR):</t>
  </si>
  <si>
    <t>Exit Year EBITDA:</t>
  </si>
  <si>
    <t>(x) Assumed Exit Multiple:</t>
  </si>
  <si>
    <t>Exit Enterprise Value:</t>
  </si>
  <si>
    <t>(-) Net Debt:</t>
  </si>
  <si>
    <t>Exit Equity Value:</t>
  </si>
  <si>
    <t>Investor Proceeds:</t>
  </si>
  <si>
    <t>MoM Multiple:</t>
  </si>
  <si>
    <t>Internal Rate of Return (IRR):</t>
  </si>
  <si>
    <t>Financial Statement Drivers:</t>
  </si>
  <si>
    <t>Income Statement Drivers:</t>
  </si>
  <si>
    <t>Sales Reps:</t>
  </si>
  <si>
    <t># People</t>
  </si>
  <si>
    <t>% Growth:</t>
  </si>
  <si>
    <t>Sales Rep Productivity:</t>
  </si>
  <si>
    <t>Other Staff:</t>
  </si>
  <si>
    <t>Other Staff % Sales Reps:</t>
  </si>
  <si>
    <t>Net Fee Income % Margin:</t>
  </si>
  <si>
    <t>Average Payroll Costs per Person:</t>
  </si>
  <si>
    <t>Other SG&amp;A:</t>
  </si>
  <si>
    <t>U.K. Corporate Tax Rate:</t>
  </si>
  <si>
    <t>Debt and Cash Drivers:</t>
  </si>
  <si>
    <t>Amount:</t>
  </si>
  <si>
    <t>Interest:</t>
  </si>
  <si>
    <t>Principal:</t>
  </si>
  <si>
    <t>PIK?</t>
  </si>
  <si>
    <t>Facility 'A' Bank Loan:</t>
  </si>
  <si>
    <t>Facility 'B' Bank Loan:</t>
  </si>
  <si>
    <t>Shareholder Loan (PIK):</t>
  </si>
  <si>
    <t>Cash:</t>
  </si>
  <si>
    <t>LIBOR:</t>
  </si>
  <si>
    <t>Facility 'A' Bank Loan - Interest:</t>
  </si>
  <si>
    <t>Facility 'B' Bank Loan - Interest:</t>
  </si>
  <si>
    <t>Shareholder Loan (PIK) - Interest:</t>
  </si>
  <si>
    <t>Cash - Interest:</t>
  </si>
  <si>
    <t>Facility 'A' Bank Loan - Beginning:</t>
  </si>
  <si>
    <t>(-) Amortisation:</t>
  </si>
  <si>
    <t>Facility 'A' Bank Loan - Ending:</t>
  </si>
  <si>
    <t>Facility 'B' Bank Loan - Beginning:</t>
  </si>
  <si>
    <t>Facility 'B' Bank Loan - Ending:</t>
  </si>
  <si>
    <t>Shareholder Loan - Beginning:</t>
  </si>
  <si>
    <t>(+) PIK Interest:</t>
  </si>
  <si>
    <t>Shareholder Loan - Ending:</t>
  </si>
  <si>
    <t>Cash - Interest Income:</t>
  </si>
  <si>
    <t>Balance Sheet Drivers:</t>
  </si>
  <si>
    <t>Receivables % Turnover:</t>
  </si>
  <si>
    <t>Prepaid Expenses % OpEx:</t>
  </si>
  <si>
    <t>Accounts Payable % OpEx:</t>
  </si>
  <si>
    <t>Accrued Expenses % OpEx:</t>
  </si>
  <si>
    <t>Other Current Liabilities % OpEx:</t>
  </si>
  <si>
    <t>Cash Flow Statement Drivers:</t>
  </si>
  <si>
    <t>Capital Expenditures % Turnover:</t>
  </si>
  <si>
    <t>Depreciation % Turnover:</t>
  </si>
  <si>
    <t>Purchases of Intangible Assets:</t>
  </si>
  <si>
    <t>Amortisation of Existing Intangibles:</t>
  </si>
  <si>
    <t>Amortisation of NEW Intangible Assets:</t>
  </si>
  <si>
    <t>Amortisation - Existing Intangibles:</t>
  </si>
  <si>
    <t>Amortisation - Year 1 Purchases:</t>
  </si>
  <si>
    <t>Amortisation - Year 2 Purchases:</t>
  </si>
  <si>
    <t>Amortisation - Year 3 Purchases:</t>
  </si>
  <si>
    <t>Amortisation - Year 4 Purchases:</t>
  </si>
  <si>
    <t>Amortisation - Year 5 Purchases:</t>
  </si>
  <si>
    <t>Total Amortisation:</t>
  </si>
  <si>
    <t>Consolidated Profit and Loss Account:</t>
  </si>
  <si>
    <t>% Growth Rate:</t>
  </si>
  <si>
    <t>Net Fee Income (NFI):</t>
  </si>
  <si>
    <t>Operating Expenses:</t>
  </si>
  <si>
    <t>(+) Payroll Costs:</t>
  </si>
  <si>
    <t>(+) Other SG&amp;A:</t>
  </si>
  <si>
    <t>Total Operating Expenses:</t>
  </si>
  <si>
    <t>(-) Depreciation &amp; Amortisation:</t>
  </si>
  <si>
    <t>(-) Interest Expense:</t>
  </si>
  <si>
    <t>(+) Interest and Other Income:</t>
  </si>
  <si>
    <t>-</t>
  </si>
  <si>
    <t>(-) Provision For Income Taxes:</t>
  </si>
  <si>
    <t>Profit for the Year:</t>
  </si>
  <si>
    <t>Statement of Financial Position:</t>
  </si>
  <si>
    <t>ASSETS:</t>
  </si>
  <si>
    <t>Current Assets:</t>
  </si>
  <si>
    <t>Cash &amp; Equivalents:</t>
  </si>
  <si>
    <t>Accounts Receivable:</t>
  </si>
  <si>
    <t>Prepaid Expenses:</t>
  </si>
  <si>
    <t>Total Current Assets:</t>
  </si>
  <si>
    <t>Non-Current Assets:</t>
  </si>
  <si>
    <t>Net PP&amp;E:</t>
  </si>
  <si>
    <t>Other Intangible Assets:</t>
  </si>
  <si>
    <t>Total Non-Current Assets:</t>
  </si>
  <si>
    <t>Total Assets:</t>
  </si>
  <si>
    <t>LIABILITIES AND EQUITY:</t>
  </si>
  <si>
    <t>Current Liabilities:</t>
  </si>
  <si>
    <t>Accounts Payable:</t>
  </si>
  <si>
    <t>Accrued Expenses:</t>
  </si>
  <si>
    <t>Other Current Liabilities:</t>
  </si>
  <si>
    <t>Total Current Liabilities:</t>
  </si>
  <si>
    <t>Non-Current Liabilities:</t>
  </si>
  <si>
    <t>Long-Term Debt:</t>
  </si>
  <si>
    <t>Other Long-Term Liabilities:</t>
  </si>
  <si>
    <t>Total Non-Current Liabilities:</t>
  </si>
  <si>
    <t>Total Liabilities:</t>
  </si>
  <si>
    <t>Equity Shareholders' Funds:</t>
  </si>
  <si>
    <t>Total Liabilities &amp; Equity:</t>
  </si>
  <si>
    <t>Balance Check:</t>
  </si>
  <si>
    <t>Cash Flow Statement:</t>
  </si>
  <si>
    <t>CASH FLOWS FROM OPERATING ACTIVITIES:</t>
  </si>
  <si>
    <t/>
  </si>
  <si>
    <t>Adjustments for Non-Cash Charges:</t>
  </si>
  <si>
    <t>(+) Depreciation:</t>
  </si>
  <si>
    <t>(+) Amortisation:</t>
  </si>
  <si>
    <t>Changes in Operating Assets and Liabilities:</t>
  </si>
  <si>
    <t>Other Liabilities:</t>
  </si>
  <si>
    <t>Net Cash Flow from Operations:</t>
  </si>
  <si>
    <t>CASH FLOWS FROM INVESTING ACTIVITIES:</t>
  </si>
  <si>
    <t>(-) CapEx:</t>
  </si>
  <si>
    <t>(-) Purchases of Intangibles:</t>
  </si>
  <si>
    <t>Net Cash Flow from Investing:</t>
  </si>
  <si>
    <t>CASH FLOWS FROM FINANCING ACTIVITIES:</t>
  </si>
  <si>
    <t>(-) Debt Repayments:</t>
  </si>
  <si>
    <t>Net Cash Flow from Financing:</t>
  </si>
  <si>
    <t>Change in Cash:</t>
  </si>
  <si>
    <t>Beginning Cash:</t>
  </si>
  <si>
    <t>Ending Cash: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</si>
</sst>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_-[$£-809]* #,##0.0_-;\-[$£-809]* #,##0.0_-;_-[$£-809]* &quot;-&quot;?_-;_-@"/>
    <numFmt numFmtId="165" formatCode="yyyy\-mm\-dd"/>
    <numFmt numFmtId="166" formatCode="0.0%;\(0.0%\)"/>
    <numFmt numFmtId="167" formatCode="&quot;FY&quot;yy"/>
    <numFmt numFmtId="168" formatCode="0.0%;\(0.0%\);\-_)_%;@_)_%"/>
    <numFmt numFmtId="169" formatCode="_(* #,##0.0_);_(* \(#,##0.0\);_(* &quot;-&quot;?_);_(@_)"/>
    <numFmt numFmtId="170" formatCode="0.0\ \x;\ \(0.0\ \x\)"/>
    <numFmt numFmtId="171" formatCode="0.0\ \x"/>
    <numFmt numFmtId="172" formatCode="_(#,##0.0%_);\(#,##0.0%\);_(&quot;–&quot;_)_%;_(@_)_%"/>
    <numFmt numFmtId="173" formatCode="_(* #,##0.000_);_(* \(#,##0.000\);_(* &quot;-&quot;???_);_(@_)"/>
    <numFmt numFmtId="174" formatCode="&quot;L + &quot;\ ##"/>
    <numFmt numFmtId="175" formatCode="0.0%;\(0.0%\);&quot;–&quot;"/>
    <numFmt numFmtId="176" formatCode="&quot;Yes&quot;;&quot;ERROR&quot;;&quot;No&quot;;&quot;ERROR&quot;"/>
    <numFmt numFmtId="177" formatCode="_(&quot;$&quot;* #,##0.0_);_(&quot;$&quot;* \(#,##0.0\);_(&quot;$&quot;* &quot;-&quot;?_);_(@_)"/>
    <numFmt numFmtId="178" formatCode="0.0%"/>
    <numFmt numFmtId="179" formatCode="&quot;$&quot;#,##0.000\);\(&quot;$&quot;#,##0.000\);&quot;OK!&quot;;&quot;ERROR&quot;"/>
    <numFmt numFmtId="180" formatCode="_(* #,##0.00_);_(* \(#,##0.00\);_(* &quot;-&quot;??_);_(@_)"/>
  </numFmts>
  <fonts count="14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sz val="12.0"/>
      <color rgb="FFFFFFFF"/>
      <name val="Calibri"/>
    </font>
    <font>
      <i/>
      <sz val="12.0"/>
      <color rgb="FFFFFFFF"/>
      <name val="Calibri"/>
    </font>
    <font>
      <sz val="11.0"/>
      <color theme="1"/>
      <name val="Calibri"/>
    </font>
    <font>
      <sz val="12.0"/>
      <color rgb="FF0000FF"/>
      <name val="Calibri"/>
    </font>
    <font/>
    <font>
      <b/>
      <i/>
      <sz val="12.0"/>
      <color rgb="FFFFFFFF"/>
      <name val="Calibri"/>
    </font>
    <font>
      <i/>
      <sz val="12.0"/>
      <color theme="1"/>
      <name val="Calibri"/>
    </font>
    <font>
      <b/>
      <sz val="12.0"/>
      <color rgb="FF0000FF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99"/>
        <bgColor rgb="FFFFFF99"/>
      </patternFill>
    </fill>
    <fill>
      <patternFill patternType="solid">
        <fgColor rgb="FFD8D8D8"/>
        <bgColor rgb="FFD8D8D8"/>
      </patternFill>
    </fill>
  </fills>
  <borders count="17">
    <border/>
    <border>
      <left/>
      <right/>
      <top/>
      <bottom style="thin">
        <color rgb="FF000000"/>
      </bottom>
    </border>
    <border>
      <left style="thin">
        <color rgb="FFB2B2B2"/>
      </lef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/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/>
      <top/>
      <bottom style="thin">
        <color rgb="FFFFFFFF"/>
      </bottom>
    </border>
    <border>
      <left style="thin">
        <color rgb="FFFFFFFF"/>
      </left>
      <top/>
      <bottom style="thin">
        <color rgb="FFFFFFFF"/>
      </bottom>
    </border>
    <border>
      <left style="thin">
        <color rgb="FFFFFFFF"/>
      </left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</border>
    <border>
      <top style="thin">
        <color rgb="FF000000"/>
      </top>
    </border>
    <border>
      <left style="thin">
        <color rgb="FFB2B2B2"/>
      </left>
      <right style="thin">
        <color rgb="FFB2B2B2"/>
      </right>
      <top style="thin">
        <color rgb="FFB2B2B2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1" fillId="2" fontId="5" numFmtId="0" xfId="0" applyBorder="1" applyFont="1"/>
    <xf borderId="0" fillId="0" fontId="6" numFmtId="0" xfId="0" applyFont="1"/>
    <xf borderId="2" fillId="3" fontId="7" numFmtId="39" xfId="0" applyAlignment="1" applyBorder="1" applyFill="1" applyFont="1" applyNumberFormat="1">
      <alignment horizontal="center"/>
    </xf>
    <xf borderId="3" fillId="0" fontId="8" numFmtId="0" xfId="0" applyBorder="1" applyFont="1"/>
    <xf borderId="4" fillId="0" fontId="8" numFmtId="0" xfId="0" applyBorder="1" applyFont="1"/>
    <xf borderId="5" fillId="3" fontId="7" numFmtId="164" xfId="0" applyAlignment="1" applyBorder="1" applyFont="1" applyNumberFormat="1">
      <alignment horizontal="center"/>
    </xf>
    <xf borderId="5" fillId="3" fontId="7" numFmtId="165" xfId="0" applyAlignment="1" applyBorder="1" applyFont="1" applyNumberFormat="1">
      <alignment horizontal="center"/>
    </xf>
    <xf borderId="5" fillId="3" fontId="7" numFmtId="166" xfId="0" applyBorder="1" applyFont="1" applyNumberFormat="1"/>
    <xf borderId="6" fillId="2" fontId="3" numFmtId="0" xfId="0" applyAlignment="1" applyBorder="1" applyFont="1">
      <alignment vertical="center"/>
    </xf>
    <xf borderId="7" fillId="2" fontId="3" numFmtId="0" xfId="0" applyAlignment="1" applyBorder="1" applyFont="1">
      <alignment horizontal="center" vertical="center"/>
    </xf>
    <xf borderId="8" fillId="0" fontId="8" numFmtId="0" xfId="0" applyBorder="1" applyFont="1"/>
    <xf borderId="9" fillId="0" fontId="8" numFmtId="0" xfId="0" applyBorder="1" applyFont="1"/>
    <xf borderId="10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center"/>
    </xf>
    <xf borderId="1" fillId="2" fontId="3" numFmtId="167" xfId="0" applyAlignment="1" applyBorder="1" applyFont="1" applyNumberFormat="1">
      <alignment horizontal="center" vertical="center"/>
    </xf>
    <xf borderId="11" fillId="2" fontId="3" numFmtId="167" xfId="0" applyAlignment="1" applyBorder="1" applyFont="1" applyNumberFormat="1">
      <alignment horizontal="center" vertical="center"/>
    </xf>
    <xf borderId="1" fillId="4" fontId="2" numFmtId="0" xfId="0" applyBorder="1" applyFill="1" applyFont="1"/>
    <xf borderId="0" fillId="0" fontId="10" numFmtId="0" xfId="0" applyAlignment="1" applyFont="1">
      <alignment horizontal="center"/>
    </xf>
    <xf borderId="0" fillId="0" fontId="1" numFmtId="164" xfId="0" applyFont="1" applyNumberFormat="1"/>
    <xf borderId="0" fillId="0" fontId="10" numFmtId="0" xfId="0" applyAlignment="1" applyFont="1">
      <alignment horizontal="left"/>
    </xf>
    <xf borderId="0" fillId="0" fontId="10" numFmtId="168" xfId="0" applyFont="1" applyNumberFormat="1"/>
    <xf borderId="0" fillId="0" fontId="1" numFmtId="169" xfId="0" applyFont="1" applyNumberFormat="1"/>
    <xf borderId="0" fillId="0" fontId="1" numFmtId="170" xfId="0" applyFont="1" applyNumberFormat="1"/>
    <xf borderId="0" fillId="0" fontId="1" numFmtId="0" xfId="0" applyAlignment="1" applyFont="1">
      <alignment horizontal="left"/>
    </xf>
    <xf borderId="12" fillId="0" fontId="10" numFmtId="0" xfId="0" applyAlignment="1" applyBorder="1" applyFont="1">
      <alignment horizontal="center"/>
    </xf>
    <xf borderId="13" fillId="3" fontId="7" numFmtId="171" xfId="0" applyBorder="1" applyFont="1" applyNumberFormat="1"/>
    <xf borderId="14" fillId="0" fontId="2" numFmtId="0" xfId="0" applyBorder="1" applyFont="1"/>
    <xf borderId="14" fillId="0" fontId="1" numFmtId="0" xfId="0" applyBorder="1" applyFont="1"/>
    <xf borderId="0" fillId="0" fontId="2" numFmtId="169" xfId="0" applyFont="1" applyNumberFormat="1"/>
    <xf borderId="14" fillId="0" fontId="2" numFmtId="169" xfId="0" applyBorder="1" applyFont="1" applyNumberFormat="1"/>
    <xf borderId="0" fillId="0" fontId="1" numFmtId="168" xfId="0" applyFont="1" applyNumberFormat="1"/>
    <xf borderId="0" fillId="0" fontId="1" numFmtId="172" xfId="0" applyFont="1" applyNumberFormat="1"/>
    <xf borderId="0" fillId="0" fontId="7" numFmtId="3" xfId="0" applyFont="1" applyNumberFormat="1"/>
    <xf borderId="0" fillId="0" fontId="1" numFmtId="3" xfId="0" applyFont="1" applyNumberFormat="1"/>
    <xf borderId="0" fillId="0" fontId="7" numFmtId="1" xfId="0" applyFont="1" applyNumberFormat="1"/>
    <xf borderId="0" fillId="0" fontId="1" numFmtId="173" xfId="0" applyFont="1" applyNumberFormat="1"/>
    <xf borderId="1" fillId="4" fontId="2" numFmtId="0" xfId="0" applyAlignment="1" applyBorder="1" applyFont="1">
      <alignment horizontal="center"/>
    </xf>
    <xf borderId="0" fillId="0" fontId="7" numFmtId="169" xfId="0" applyFont="1" applyNumberFormat="1"/>
    <xf borderId="15" fillId="3" fontId="7" numFmtId="174" xfId="0" applyAlignment="1" applyBorder="1" applyFont="1" applyNumberFormat="1">
      <alignment horizontal="center"/>
    </xf>
    <xf borderId="5" fillId="3" fontId="7" numFmtId="175" xfId="0" applyAlignment="1" applyBorder="1" applyFont="1" applyNumberFormat="1">
      <alignment horizontal="center"/>
    </xf>
    <xf borderId="5" fillId="3" fontId="7" numFmtId="176" xfId="0" applyAlignment="1" applyBorder="1" applyFont="1" applyNumberFormat="1">
      <alignment horizontal="center"/>
    </xf>
    <xf borderId="5" fillId="3" fontId="7" numFmtId="174" xfId="0" applyAlignment="1" applyBorder="1" applyFont="1" applyNumberFormat="1">
      <alignment horizontal="center"/>
    </xf>
    <xf borderId="0" fillId="0" fontId="7" numFmtId="172" xfId="0" applyFont="1" applyNumberFormat="1"/>
    <xf borderId="12" fillId="0" fontId="1" numFmtId="169" xfId="0" applyBorder="1" applyFont="1" applyNumberFormat="1"/>
    <xf borderId="14" fillId="0" fontId="2" numFmtId="0" xfId="0" applyAlignment="1" applyBorder="1" applyFont="1">
      <alignment horizontal="left"/>
    </xf>
    <xf borderId="14" fillId="0" fontId="1" numFmtId="172" xfId="0" applyBorder="1" applyFont="1" applyNumberFormat="1"/>
    <xf borderId="12" fillId="0" fontId="1" numFmtId="172" xfId="0" applyBorder="1" applyFont="1" applyNumberFormat="1"/>
    <xf borderId="0" fillId="0" fontId="1" numFmtId="0" xfId="0" applyAlignment="1" applyFont="1">
      <alignment horizontal="center"/>
    </xf>
    <xf borderId="5" fillId="3" fontId="1" numFmtId="166" xfId="0" applyBorder="1" applyFont="1" applyNumberFormat="1"/>
    <xf borderId="0" fillId="0" fontId="10" numFmtId="172" xfId="0" applyFont="1" applyNumberFormat="1"/>
    <xf borderId="5" fillId="3" fontId="7" numFmtId="169" xfId="0" applyBorder="1" applyFont="1" applyNumberFormat="1"/>
    <xf borderId="0" fillId="0" fontId="1" numFmtId="177" xfId="0" applyFont="1" applyNumberFormat="1"/>
    <xf borderId="0" fillId="0" fontId="11" numFmtId="164" xfId="0" applyFont="1" applyNumberFormat="1"/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11" numFmtId="169" xfId="0" applyFont="1" applyNumberFormat="1"/>
    <xf borderId="0" fillId="0" fontId="1" numFmtId="178" xfId="0" applyAlignment="1" applyFont="1" applyNumberFormat="1">
      <alignment horizontal="right"/>
    </xf>
    <xf borderId="0" fillId="0" fontId="1" numFmtId="49" xfId="0" applyAlignment="1" applyFont="1" applyNumberFormat="1">
      <alignment horizontal="left"/>
    </xf>
    <xf borderId="14" fillId="0" fontId="2" numFmtId="49" xfId="0" applyAlignment="1" applyBorder="1" applyFont="1" applyNumberFormat="1">
      <alignment horizontal="left"/>
    </xf>
    <xf borderId="14" fillId="0" fontId="12" numFmtId="169" xfId="0" applyBorder="1" applyFont="1" applyNumberFormat="1"/>
    <xf borderId="0" fillId="0" fontId="2" numFmtId="49" xfId="0" applyAlignment="1" applyFont="1" applyNumberFormat="1">
      <alignment horizontal="left"/>
    </xf>
    <xf borderId="12" fillId="0" fontId="1" numFmtId="0" xfId="0" applyAlignment="1" applyBorder="1" applyFont="1">
      <alignment horizontal="left"/>
    </xf>
    <xf borderId="14" fillId="0" fontId="2" numFmtId="164" xfId="0" applyBorder="1" applyFont="1" applyNumberFormat="1"/>
    <xf borderId="1" fillId="4" fontId="2" numFmtId="49" xfId="0" applyBorder="1" applyFont="1" applyNumberFormat="1"/>
    <xf borderId="0" fillId="0" fontId="7" numFmtId="164" xfId="0" applyFont="1" applyNumberFormat="1"/>
    <xf borderId="12" fillId="0" fontId="7" numFmtId="169" xfId="0" applyBorder="1" applyFont="1" applyNumberFormat="1"/>
    <xf borderId="0" fillId="0" fontId="6" numFmtId="169" xfId="0" applyFont="1" applyNumberFormat="1"/>
    <xf borderId="0" fillId="0" fontId="10" numFmtId="0" xfId="0" applyFont="1"/>
    <xf borderId="0" fillId="0" fontId="10" numFmtId="179" xfId="0" applyFont="1" applyNumberFormat="1"/>
    <xf borderId="16" fillId="4" fontId="2" numFmtId="0" xfId="0" applyBorder="1" applyFont="1"/>
    <xf borderId="0" fillId="0" fontId="1" numFmtId="180" xfId="0" applyFont="1" applyNumberFormat="1"/>
    <xf borderId="0" fillId="0" fontId="13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71"/>
    <col customWidth="1" min="3" max="3" width="42.43"/>
    <col customWidth="1" min="4" max="12" width="11.71"/>
    <col customWidth="1" min="13" max="13" width="2.71"/>
    <col customWidth="1" min="14" max="17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2" t="str">
        <f>Company_Name&amp;" - Operating Model"</f>
        <v>Frank Recruitment Group Limited - Operating Model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3" t="s">
        <v>1</v>
      </c>
      <c r="C5" s="4"/>
      <c r="D5" s="5"/>
      <c r="E5" s="4"/>
      <c r="F5" s="4"/>
      <c r="G5" s="4"/>
      <c r="H5" s="4"/>
      <c r="I5" s="5"/>
      <c r="J5" s="4"/>
      <c r="K5" s="4"/>
      <c r="L5" s="4"/>
      <c r="M5" s="1"/>
      <c r="O5" s="6"/>
      <c r="P5" s="6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O6" s="6"/>
      <c r="P6" s="6"/>
    </row>
    <row r="7">
      <c r="A7" s="1"/>
      <c r="B7" s="1"/>
      <c r="C7" s="1" t="s">
        <v>2</v>
      </c>
      <c r="D7" s="7" t="s">
        <v>3</v>
      </c>
      <c r="E7" s="8"/>
      <c r="F7" s="9"/>
      <c r="G7" s="1"/>
      <c r="H7" s="1" t="s">
        <v>4</v>
      </c>
      <c r="I7" s="1"/>
      <c r="J7" s="1"/>
      <c r="K7" s="10">
        <v>30.0</v>
      </c>
      <c r="L7" s="1"/>
      <c r="M7" s="1"/>
      <c r="O7" s="6"/>
      <c r="P7" s="6"/>
    </row>
    <row r="8">
      <c r="A8" s="1"/>
      <c r="B8" s="1"/>
      <c r="C8" s="1" t="s">
        <v>5</v>
      </c>
      <c r="D8" s="11">
        <v>42338.0</v>
      </c>
      <c r="E8" s="1"/>
      <c r="F8" s="1"/>
      <c r="G8" s="1"/>
      <c r="H8" s="1" t="s">
        <v>6</v>
      </c>
      <c r="I8" s="1"/>
      <c r="J8" s="1"/>
      <c r="K8" s="12">
        <v>0.25</v>
      </c>
      <c r="L8" s="1"/>
      <c r="M8" s="1"/>
      <c r="O8" s="6"/>
      <c r="P8" s="6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O9" s="6"/>
      <c r="P9" s="6"/>
    </row>
    <row r="10">
      <c r="A10" s="1"/>
      <c r="B10" s="1"/>
      <c r="C10" s="1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O10" s="6"/>
      <c r="P10" s="6"/>
    </row>
    <row r="11">
      <c r="A11" s="1"/>
      <c r="B11" s="1"/>
      <c r="C11" s="1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O11" s="6"/>
      <c r="P11" s="6"/>
    </row>
    <row r="12">
      <c r="A12" s="1"/>
      <c r="B12" s="1"/>
      <c r="C12" s="1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O12" s="6"/>
      <c r="P12" s="6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  <c r="O13" s="6"/>
      <c r="P13" s="6"/>
    </row>
    <row r="14" ht="15.75" customHeight="1">
      <c r="A14" s="1"/>
      <c r="B14" s="13"/>
      <c r="C14" s="13"/>
      <c r="D14" s="13"/>
      <c r="E14" s="14" t="s">
        <v>10</v>
      </c>
      <c r="F14" s="15"/>
      <c r="G14" s="16"/>
      <c r="H14" s="17" t="s">
        <v>11</v>
      </c>
      <c r="I14" s="15"/>
      <c r="J14" s="15"/>
      <c r="K14" s="15"/>
      <c r="L14" s="16"/>
      <c r="M14" s="1"/>
      <c r="N14" s="6"/>
      <c r="O14" s="6"/>
      <c r="P14" s="6"/>
    </row>
    <row r="15" ht="15.75" customHeight="1">
      <c r="A15" s="1"/>
      <c r="B15" s="18" t="s">
        <v>12</v>
      </c>
      <c r="C15" s="18"/>
      <c r="D15" s="19" t="s">
        <v>13</v>
      </c>
      <c r="E15" s="20">
        <f t="shared" ref="E15:F15" si="1">EOMONTH(F15,-12)</f>
        <v>41608</v>
      </c>
      <c r="F15" s="20">
        <f t="shared" si="1"/>
        <v>41973</v>
      </c>
      <c r="G15" s="20">
        <f>Hist_Yr</f>
        <v>42338</v>
      </c>
      <c r="H15" s="21">
        <f t="shared" ref="H15:L15" si="2">EOMONTH(G15,12)</f>
        <v>42704</v>
      </c>
      <c r="I15" s="20">
        <f t="shared" si="2"/>
        <v>43069</v>
      </c>
      <c r="J15" s="20">
        <f t="shared" si="2"/>
        <v>43434</v>
      </c>
      <c r="K15" s="20">
        <f t="shared" si="2"/>
        <v>43799</v>
      </c>
      <c r="L15" s="20">
        <f t="shared" si="2"/>
        <v>44165</v>
      </c>
      <c r="M15" s="1"/>
      <c r="N15" s="6"/>
      <c r="O15" s="6"/>
      <c r="P15" s="6"/>
    </row>
    <row r="16" ht="15.75" customHeight="1">
      <c r="A16" s="1"/>
      <c r="B16" s="22" t="s">
        <v>14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"/>
      <c r="N16" s="6"/>
      <c r="O16" s="6"/>
      <c r="P16" s="6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6"/>
      <c r="O17" s="6"/>
      <c r="P17" s="6"/>
    </row>
    <row r="18" ht="15.75" customHeight="1">
      <c r="A18" s="1"/>
      <c r="B18" s="1"/>
      <c r="C18" s="1" t="s">
        <v>15</v>
      </c>
      <c r="D18" s="23" t="s">
        <v>16</v>
      </c>
      <c r="E18" s="24">
        <f t="shared" ref="E18:L18" si="3">+E129</f>
        <v>39.4</v>
      </c>
      <c r="F18" s="24">
        <f t="shared" si="3"/>
        <v>62.472</v>
      </c>
      <c r="G18" s="24">
        <f t="shared" si="3"/>
        <v>94.983</v>
      </c>
      <c r="H18" s="24">
        <f t="shared" si="3"/>
        <v>146.748735</v>
      </c>
      <c r="I18" s="24">
        <f t="shared" si="3"/>
        <v>211.6116759</v>
      </c>
      <c r="J18" s="24">
        <f t="shared" si="3"/>
        <v>280.5970822</v>
      </c>
      <c r="K18" s="24">
        <f t="shared" si="3"/>
        <v>357.7612798</v>
      </c>
      <c r="L18" s="24">
        <f t="shared" si="3"/>
        <v>437.8998065</v>
      </c>
      <c r="M18" s="1"/>
      <c r="N18" s="6"/>
      <c r="O18" s="6"/>
      <c r="P18" s="6"/>
    </row>
    <row r="19" ht="15.75" customHeight="1">
      <c r="A19" s="1"/>
      <c r="B19" s="1"/>
      <c r="C19" s="25" t="s">
        <v>17</v>
      </c>
      <c r="D19" s="23" t="s">
        <v>18</v>
      </c>
      <c r="E19" s="26" t="str">
        <f t="shared" ref="E19:L19" si="4">+E130</f>
        <v>N/A</v>
      </c>
      <c r="F19" s="26">
        <f t="shared" si="4"/>
        <v>0.5855837563</v>
      </c>
      <c r="G19" s="26">
        <f t="shared" si="4"/>
        <v>0.5204091433</v>
      </c>
      <c r="H19" s="26">
        <f t="shared" si="4"/>
        <v>0.545</v>
      </c>
      <c r="I19" s="26">
        <f t="shared" si="4"/>
        <v>0.442</v>
      </c>
      <c r="J19" s="26">
        <f t="shared" si="4"/>
        <v>0.326</v>
      </c>
      <c r="K19" s="26">
        <f t="shared" si="4"/>
        <v>0.275</v>
      </c>
      <c r="L19" s="26">
        <f t="shared" si="4"/>
        <v>0.224</v>
      </c>
      <c r="M19" s="1"/>
      <c r="N19" s="6"/>
      <c r="O19" s="6"/>
      <c r="P19" s="6"/>
    </row>
    <row r="20" ht="15.75" customHeight="1">
      <c r="A20" s="1"/>
      <c r="B20" s="1"/>
      <c r="C20" s="1"/>
      <c r="D20" s="23"/>
      <c r="E20" s="1"/>
      <c r="F20" s="1"/>
      <c r="G20" s="1"/>
      <c r="H20" s="1"/>
      <c r="I20" s="1"/>
      <c r="J20" s="1"/>
      <c r="K20" s="1"/>
      <c r="L20" s="1"/>
      <c r="M20" s="1"/>
      <c r="N20" s="6"/>
      <c r="O20" s="6"/>
      <c r="P20" s="6"/>
    </row>
    <row r="21" ht="15.75" customHeight="1">
      <c r="A21" s="1"/>
      <c r="B21" s="1"/>
      <c r="C21" s="1" t="s">
        <v>19</v>
      </c>
      <c r="D21" s="23" t="s">
        <v>16</v>
      </c>
      <c r="E21" s="27">
        <f t="shared" ref="E21:L21" si="5">+E139</f>
        <v>5.3</v>
      </c>
      <c r="F21" s="27">
        <f t="shared" si="5"/>
        <v>8.359</v>
      </c>
      <c r="G21" s="27">
        <f t="shared" si="5"/>
        <v>14.775</v>
      </c>
      <c r="H21" s="27">
        <f t="shared" si="5"/>
        <v>24.17995687</v>
      </c>
      <c r="I21" s="27">
        <f t="shared" si="5"/>
        <v>34.4094366</v>
      </c>
      <c r="J21" s="27">
        <f t="shared" si="5"/>
        <v>43.68327917</v>
      </c>
      <c r="K21" s="27">
        <f t="shared" si="5"/>
        <v>52.52157536</v>
      </c>
      <c r="L21" s="27">
        <f t="shared" si="5"/>
        <v>59.80792326</v>
      </c>
      <c r="M21" s="1"/>
      <c r="N21" s="6"/>
      <c r="O21" s="6"/>
      <c r="P21" s="6"/>
    </row>
    <row r="22" ht="15.75" customHeight="1">
      <c r="A22" s="1"/>
      <c r="B22" s="1"/>
      <c r="C22" s="25" t="s">
        <v>17</v>
      </c>
      <c r="D22" s="23" t="s">
        <v>18</v>
      </c>
      <c r="E22" s="26" t="str">
        <f t="shared" ref="E22:L22" si="6">+IFERROR(E21/D21-1,"N/A")</f>
        <v>N/A</v>
      </c>
      <c r="F22" s="26">
        <f t="shared" si="6"/>
        <v>0.5771698113</v>
      </c>
      <c r="G22" s="26">
        <f t="shared" si="6"/>
        <v>0.7675559277</v>
      </c>
      <c r="H22" s="26">
        <f t="shared" si="6"/>
        <v>0.636545304</v>
      </c>
      <c r="I22" s="26">
        <f t="shared" si="6"/>
        <v>0.4230561612</v>
      </c>
      <c r="J22" s="26">
        <f t="shared" si="6"/>
        <v>0.2695145138</v>
      </c>
      <c r="K22" s="26">
        <f t="shared" si="6"/>
        <v>0.2023267566</v>
      </c>
      <c r="L22" s="26">
        <f t="shared" si="6"/>
        <v>0.1387305663</v>
      </c>
      <c r="M22" s="1"/>
      <c r="N22" s="6"/>
      <c r="O22" s="6"/>
      <c r="P22" s="6"/>
    </row>
    <row r="23" ht="15.75" customHeight="1">
      <c r="A23" s="1"/>
      <c r="B23" s="1"/>
      <c r="C23" s="25" t="s">
        <v>20</v>
      </c>
      <c r="D23" s="23" t="s">
        <v>18</v>
      </c>
      <c r="E23" s="26">
        <f t="shared" ref="E23:L23" si="7">+E21/E18</f>
        <v>0.1345177665</v>
      </c>
      <c r="F23" s="26">
        <f t="shared" si="7"/>
        <v>0.1338039442</v>
      </c>
      <c r="G23" s="26">
        <f t="shared" si="7"/>
        <v>0.1555541518</v>
      </c>
      <c r="H23" s="26">
        <f t="shared" si="7"/>
        <v>0.1647711435</v>
      </c>
      <c r="I23" s="26">
        <f t="shared" si="7"/>
        <v>0.1626065124</v>
      </c>
      <c r="J23" s="26">
        <f t="shared" si="7"/>
        <v>0.1556797342</v>
      </c>
      <c r="K23" s="26">
        <f t="shared" si="7"/>
        <v>0.1468062038</v>
      </c>
      <c r="L23" s="26">
        <f t="shared" si="7"/>
        <v>0.1365790128</v>
      </c>
      <c r="M23" s="1"/>
      <c r="N23" s="6"/>
      <c r="O23" s="6"/>
      <c r="P23" s="6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"/>
      <c r="O24" s="6"/>
      <c r="P24" s="6"/>
    </row>
    <row r="25" ht="15.75" customHeight="1">
      <c r="A25" s="1"/>
      <c r="B25" s="1"/>
      <c r="C25" s="1" t="s">
        <v>21</v>
      </c>
      <c r="D25" s="23" t="s">
        <v>16</v>
      </c>
      <c r="E25" s="27">
        <f t="shared" ref="E25:L25" si="8">-E141</f>
        <v>1.180592</v>
      </c>
      <c r="F25" s="27">
        <f t="shared" si="8"/>
        <v>3.101</v>
      </c>
      <c r="G25" s="27">
        <f t="shared" si="8"/>
        <v>3.36</v>
      </c>
      <c r="H25" s="27">
        <f t="shared" si="8"/>
        <v>2.1467205</v>
      </c>
      <c r="I25" s="27">
        <f t="shared" si="8"/>
        <v>2.21675277</v>
      </c>
      <c r="J25" s="27">
        <f t="shared" si="8"/>
        <v>2.22387904</v>
      </c>
      <c r="K25" s="27">
        <f t="shared" si="8"/>
        <v>2.29829977</v>
      </c>
      <c r="L25" s="27">
        <f t="shared" si="8"/>
        <v>2.3448175</v>
      </c>
      <c r="M25" s="1"/>
      <c r="N25" s="6"/>
      <c r="O25" s="6"/>
      <c r="P25" s="6"/>
    </row>
    <row r="26" ht="15.75" customHeight="1">
      <c r="A26" s="1"/>
      <c r="B26" s="1"/>
      <c r="C26" s="1" t="s">
        <v>22</v>
      </c>
      <c r="D26" s="23" t="s">
        <v>16</v>
      </c>
      <c r="E26" s="27">
        <f t="shared" ref="E26:G26" si="9">+E25</f>
        <v>1.180592</v>
      </c>
      <c r="F26" s="27">
        <f t="shared" si="9"/>
        <v>3.101</v>
      </c>
      <c r="G26" s="27">
        <f t="shared" si="9"/>
        <v>3.36</v>
      </c>
      <c r="H26" s="27">
        <f t="shared" ref="H26:L26" si="10">+H87+H93</f>
        <v>1.6467205</v>
      </c>
      <c r="I26" s="27">
        <f t="shared" si="10"/>
        <v>1.66675277</v>
      </c>
      <c r="J26" s="27">
        <f t="shared" si="10"/>
        <v>1.61887904</v>
      </c>
      <c r="K26" s="27">
        <f t="shared" si="10"/>
        <v>1.63279977</v>
      </c>
      <c r="L26" s="27">
        <f t="shared" si="10"/>
        <v>1.6127675</v>
      </c>
      <c r="M26" s="1"/>
      <c r="N26" s="6"/>
      <c r="O26" s="6"/>
      <c r="P26" s="6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6"/>
      <c r="O27" s="6"/>
      <c r="P27" s="6"/>
    </row>
    <row r="28" ht="15.75" customHeight="1">
      <c r="A28" s="1"/>
      <c r="B28" s="1"/>
      <c r="C28" s="1" t="s">
        <v>23</v>
      </c>
      <c r="D28" s="23" t="s">
        <v>16</v>
      </c>
      <c r="E28" s="27">
        <f t="shared" ref="E28:L28" si="11">+E170</f>
        <v>32.826583</v>
      </c>
      <c r="F28" s="27">
        <f t="shared" si="11"/>
        <v>34.557</v>
      </c>
      <c r="G28" s="27">
        <f t="shared" si="11"/>
        <v>33.953</v>
      </c>
      <c r="H28" s="27">
        <f t="shared" si="11"/>
        <v>32.93441</v>
      </c>
      <c r="I28" s="27">
        <f t="shared" si="11"/>
        <v>31.91582</v>
      </c>
      <c r="J28" s="27">
        <f t="shared" si="11"/>
        <v>30.89723</v>
      </c>
      <c r="K28" s="27">
        <f t="shared" si="11"/>
        <v>29.87864</v>
      </c>
      <c r="L28" s="27">
        <f t="shared" si="11"/>
        <v>28.86005</v>
      </c>
      <c r="M28" s="1"/>
      <c r="N28" s="6"/>
      <c r="O28" s="6"/>
      <c r="P28" s="6"/>
    </row>
    <row r="29" ht="15.75" customHeight="1">
      <c r="A29" s="1"/>
      <c r="B29" s="1"/>
      <c r="C29" s="1" t="s">
        <v>24</v>
      </c>
      <c r="D29" s="23" t="s">
        <v>16</v>
      </c>
      <c r="E29" s="27">
        <f t="shared" ref="E29:L29" si="12">+E170-E150</f>
        <v>30.002971</v>
      </c>
      <c r="F29" s="27">
        <f t="shared" si="12"/>
        <v>32.152</v>
      </c>
      <c r="G29" s="27">
        <f t="shared" si="12"/>
        <v>21.804</v>
      </c>
      <c r="H29" s="27">
        <f t="shared" si="12"/>
        <v>12.95271412</v>
      </c>
      <c r="I29" s="27">
        <f t="shared" si="12"/>
        <v>-3.950532866</v>
      </c>
      <c r="J29" s="27">
        <f t="shared" si="12"/>
        <v>-22.38057589</v>
      </c>
      <c r="K29" s="27">
        <f t="shared" si="12"/>
        <v>-48.11584744</v>
      </c>
      <c r="L29" s="27">
        <f t="shared" si="12"/>
        <v>-75.04074209</v>
      </c>
      <c r="M29" s="1"/>
      <c r="N29" s="6"/>
      <c r="O29" s="6"/>
      <c r="P29" s="6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6"/>
      <c r="O30" s="6"/>
      <c r="P30" s="6"/>
    </row>
    <row r="31" ht="15.75" customHeight="1">
      <c r="A31" s="1"/>
      <c r="B31" s="1"/>
      <c r="C31" s="1" t="s">
        <v>25</v>
      </c>
      <c r="D31" s="23" t="s">
        <v>26</v>
      </c>
      <c r="E31" s="28">
        <f t="shared" ref="E31:L31" si="13">+E21/E25</f>
        <v>4.489273178</v>
      </c>
      <c r="F31" s="28">
        <f t="shared" si="13"/>
        <v>2.69558207</v>
      </c>
      <c r="G31" s="28">
        <f t="shared" si="13"/>
        <v>4.397321429</v>
      </c>
      <c r="H31" s="28">
        <f t="shared" si="13"/>
        <v>11.2636726</v>
      </c>
      <c r="I31" s="28">
        <f t="shared" si="13"/>
        <v>15.52245116</v>
      </c>
      <c r="J31" s="28">
        <f t="shared" si="13"/>
        <v>19.64283056</v>
      </c>
      <c r="K31" s="28">
        <f t="shared" si="13"/>
        <v>22.85236071</v>
      </c>
      <c r="L31" s="28">
        <f t="shared" si="13"/>
        <v>25.50642993</v>
      </c>
      <c r="M31" s="1"/>
      <c r="N31" s="6"/>
      <c r="O31" s="6"/>
      <c r="P31" s="6"/>
    </row>
    <row r="32" ht="15.75" customHeight="1">
      <c r="A32" s="1"/>
      <c r="B32" s="1"/>
      <c r="C32" s="1" t="s">
        <v>27</v>
      </c>
      <c r="D32" s="23" t="s">
        <v>26</v>
      </c>
      <c r="E32" s="28">
        <f t="shared" ref="E32:L32" si="14">+E21/E26</f>
        <v>4.489273178</v>
      </c>
      <c r="F32" s="28">
        <f t="shared" si="14"/>
        <v>2.69558207</v>
      </c>
      <c r="G32" s="28">
        <f t="shared" si="14"/>
        <v>4.397321429</v>
      </c>
      <c r="H32" s="28">
        <f t="shared" si="14"/>
        <v>14.68370429</v>
      </c>
      <c r="I32" s="28">
        <f t="shared" si="14"/>
        <v>20.64459542</v>
      </c>
      <c r="J32" s="28">
        <f t="shared" si="14"/>
        <v>26.9836585</v>
      </c>
      <c r="K32" s="28">
        <f t="shared" si="14"/>
        <v>32.16657445</v>
      </c>
      <c r="L32" s="28">
        <f t="shared" si="14"/>
        <v>37.08403304</v>
      </c>
      <c r="M32" s="1"/>
      <c r="N32" s="6"/>
      <c r="O32" s="6"/>
      <c r="P32" s="6"/>
    </row>
    <row r="33" ht="15.75" customHeight="1">
      <c r="A33" s="1"/>
      <c r="B33" s="1"/>
      <c r="C33" s="1" t="s">
        <v>28</v>
      </c>
      <c r="D33" s="23" t="s">
        <v>26</v>
      </c>
      <c r="E33" s="28">
        <f t="shared" ref="E33:L33" si="15">+E28/E21</f>
        <v>6.193694906</v>
      </c>
      <c r="F33" s="28">
        <f t="shared" si="15"/>
        <v>4.134106951</v>
      </c>
      <c r="G33" s="28">
        <f t="shared" si="15"/>
        <v>2.298003384</v>
      </c>
      <c r="H33" s="28">
        <f t="shared" si="15"/>
        <v>1.362054125</v>
      </c>
      <c r="I33" s="28">
        <f t="shared" si="15"/>
        <v>0.9275310251</v>
      </c>
      <c r="J33" s="28">
        <f t="shared" si="15"/>
        <v>0.7073010677</v>
      </c>
      <c r="K33" s="28">
        <f t="shared" si="15"/>
        <v>0.5688831645</v>
      </c>
      <c r="L33" s="28">
        <f t="shared" si="15"/>
        <v>0.4825455964</v>
      </c>
      <c r="M33" s="1"/>
      <c r="N33" s="6"/>
      <c r="O33" s="6"/>
      <c r="P33" s="6"/>
    </row>
    <row r="34" ht="15.75" customHeight="1">
      <c r="A34" s="1"/>
      <c r="B34" s="1"/>
      <c r="C34" s="1" t="s">
        <v>29</v>
      </c>
      <c r="D34" s="23" t="s">
        <v>26</v>
      </c>
      <c r="E34" s="28">
        <f t="shared" ref="E34:L34" si="16">+E29/E21</f>
        <v>5.660937925</v>
      </c>
      <c r="F34" s="28">
        <f t="shared" si="16"/>
        <v>3.846393109</v>
      </c>
      <c r="G34" s="28">
        <f t="shared" si="16"/>
        <v>1.475736041</v>
      </c>
      <c r="H34" s="28">
        <f t="shared" si="16"/>
        <v>0.535679786</v>
      </c>
      <c r="I34" s="28">
        <f t="shared" si="16"/>
        <v>-0.1148095772</v>
      </c>
      <c r="J34" s="28">
        <f t="shared" si="16"/>
        <v>-0.5123373591</v>
      </c>
      <c r="K34" s="28">
        <f t="shared" si="16"/>
        <v>-0.9161158459</v>
      </c>
      <c r="L34" s="28">
        <f t="shared" si="16"/>
        <v>-1.254695666</v>
      </c>
      <c r="M34" s="1"/>
      <c r="N34" s="6"/>
      <c r="O34" s="6"/>
      <c r="P34" s="6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6"/>
      <c r="O35" s="6"/>
      <c r="P35" s="6"/>
    </row>
    <row r="36" ht="15.75" customHeight="1">
      <c r="A36" s="1"/>
      <c r="B36" s="22" t="s">
        <v>30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"/>
      <c r="N36" s="6"/>
      <c r="O36" s="6"/>
      <c r="P36" s="6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6"/>
      <c r="O37" s="6"/>
      <c r="P37" s="6"/>
    </row>
    <row r="38" ht="15.75" customHeight="1">
      <c r="A38" s="1"/>
      <c r="B38" s="1"/>
      <c r="C38" s="29" t="s">
        <v>31</v>
      </c>
      <c r="D38" s="23" t="s">
        <v>16</v>
      </c>
      <c r="E38" s="1"/>
      <c r="F38" s="1"/>
      <c r="G38" s="1"/>
      <c r="H38" s="1"/>
      <c r="I38" s="1"/>
      <c r="J38" s="27">
        <f t="shared" ref="J38:L38" si="17">+J21</f>
        <v>43.68327917</v>
      </c>
      <c r="K38" s="27">
        <f t="shared" si="17"/>
        <v>52.52157536</v>
      </c>
      <c r="L38" s="27">
        <f t="shared" si="17"/>
        <v>59.80792326</v>
      </c>
      <c r="M38" s="1"/>
      <c r="N38" s="6"/>
      <c r="O38" s="6"/>
      <c r="P38" s="6"/>
    </row>
    <row r="39" ht="15.75" customHeight="1">
      <c r="A39" s="1"/>
      <c r="B39" s="1"/>
      <c r="C39" s="29" t="s">
        <v>32</v>
      </c>
      <c r="D39" s="30" t="s">
        <v>26</v>
      </c>
      <c r="E39" s="1"/>
      <c r="F39" s="1"/>
      <c r="G39" s="1"/>
      <c r="H39" s="1"/>
      <c r="I39" s="1"/>
      <c r="J39" s="31">
        <v>10.0</v>
      </c>
      <c r="K39" s="31">
        <v>9.0</v>
      </c>
      <c r="L39" s="31">
        <v>8.0</v>
      </c>
      <c r="M39" s="1"/>
      <c r="N39" s="6"/>
      <c r="O39" s="6"/>
      <c r="P39" s="6"/>
    </row>
    <row r="40" ht="15.75" customHeight="1">
      <c r="A40" s="1"/>
      <c r="B40" s="1"/>
      <c r="C40" s="32" t="s">
        <v>33</v>
      </c>
      <c r="D40" s="23" t="s">
        <v>16</v>
      </c>
      <c r="E40" s="33"/>
      <c r="F40" s="33"/>
      <c r="G40" s="33"/>
      <c r="H40" s="33"/>
      <c r="I40" s="33"/>
      <c r="J40" s="34">
        <f t="shared" ref="J40:L40" si="18">+J38*J39</f>
        <v>436.8327917</v>
      </c>
      <c r="K40" s="34">
        <f t="shared" si="18"/>
        <v>472.6941783</v>
      </c>
      <c r="L40" s="34">
        <f t="shared" si="18"/>
        <v>478.4633861</v>
      </c>
      <c r="M40" s="1"/>
      <c r="N40" s="6"/>
      <c r="O40" s="6"/>
      <c r="P40" s="6"/>
    </row>
    <row r="41" ht="15.75" customHeight="1">
      <c r="A41" s="1"/>
      <c r="B41" s="1"/>
      <c r="C41" s="29" t="s">
        <v>34</v>
      </c>
      <c r="D41" s="30" t="s">
        <v>16</v>
      </c>
      <c r="E41" s="1"/>
      <c r="F41" s="1"/>
      <c r="G41" s="1"/>
      <c r="H41" s="1"/>
      <c r="I41" s="1"/>
      <c r="J41" s="27">
        <f t="shared" ref="J41:L41" si="19">-J29</f>
        <v>22.38057589</v>
      </c>
      <c r="K41" s="27">
        <f t="shared" si="19"/>
        <v>48.11584744</v>
      </c>
      <c r="L41" s="27">
        <f t="shared" si="19"/>
        <v>75.04074209</v>
      </c>
      <c r="M41" s="1"/>
      <c r="N41" s="6"/>
      <c r="O41" s="6"/>
      <c r="P41" s="6"/>
    </row>
    <row r="42" ht="15.75" customHeight="1">
      <c r="A42" s="1"/>
      <c r="B42" s="1"/>
      <c r="C42" s="32" t="s">
        <v>35</v>
      </c>
      <c r="D42" s="23" t="s">
        <v>16</v>
      </c>
      <c r="E42" s="33"/>
      <c r="F42" s="33"/>
      <c r="G42" s="33"/>
      <c r="H42" s="33"/>
      <c r="I42" s="33"/>
      <c r="J42" s="35">
        <f t="shared" ref="J42:L42" si="20">SUM(J40:J41)</f>
        <v>459.2133676</v>
      </c>
      <c r="K42" s="35">
        <f t="shared" si="20"/>
        <v>520.8100257</v>
      </c>
      <c r="L42" s="35">
        <f t="shared" si="20"/>
        <v>553.5041282</v>
      </c>
      <c r="M42" s="1"/>
      <c r="N42" s="6"/>
      <c r="O42" s="6"/>
      <c r="P42" s="6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6"/>
      <c r="O43" s="6"/>
      <c r="P43" s="6"/>
    </row>
    <row r="44" ht="15.75" customHeight="1">
      <c r="A44" s="1"/>
      <c r="B44" s="1"/>
      <c r="C44" s="1" t="s">
        <v>36</v>
      </c>
      <c r="D44" s="23" t="s">
        <v>26</v>
      </c>
      <c r="E44" s="1"/>
      <c r="F44" s="1"/>
      <c r="G44" s="1"/>
      <c r="H44" s="1"/>
      <c r="I44" s="1"/>
      <c r="J44" s="27">
        <f t="shared" ref="J44:L44" si="21">+J42*$K$8</f>
        <v>114.8033419</v>
      </c>
      <c r="K44" s="27">
        <f t="shared" si="21"/>
        <v>130.2025064</v>
      </c>
      <c r="L44" s="27">
        <f t="shared" si="21"/>
        <v>138.376032</v>
      </c>
      <c r="M44" s="1"/>
      <c r="N44" s="6"/>
      <c r="O44" s="6"/>
      <c r="P44" s="6"/>
    </row>
    <row r="45" ht="15.75" customHeight="1">
      <c r="A45" s="1"/>
      <c r="B45" s="1"/>
      <c r="C45" s="1" t="s">
        <v>37</v>
      </c>
      <c r="D45" s="23" t="s">
        <v>26</v>
      </c>
      <c r="E45" s="1"/>
      <c r="F45" s="1"/>
      <c r="G45" s="1"/>
      <c r="H45" s="1"/>
      <c r="I45" s="1"/>
      <c r="J45" s="28">
        <f t="shared" ref="J45:L45" si="22">+J44/$K$7</f>
        <v>3.826778063</v>
      </c>
      <c r="K45" s="28">
        <f t="shared" si="22"/>
        <v>4.340083548</v>
      </c>
      <c r="L45" s="28">
        <f t="shared" si="22"/>
        <v>4.612534401</v>
      </c>
      <c r="M45" s="1"/>
      <c r="N45" s="6"/>
      <c r="O45" s="6"/>
      <c r="P45" s="6"/>
    </row>
    <row r="46" ht="15.75" customHeight="1">
      <c r="A46" s="1"/>
      <c r="B46" s="1"/>
      <c r="C46" s="1" t="s">
        <v>38</v>
      </c>
      <c r="D46" s="23" t="s">
        <v>18</v>
      </c>
      <c r="E46" s="1"/>
      <c r="F46" s="1"/>
      <c r="G46" s="1"/>
      <c r="H46" s="1"/>
      <c r="I46" s="1"/>
      <c r="J46" s="36">
        <f>(J44/$K$7)^(1/3)-1</f>
        <v>0.5641476934</v>
      </c>
      <c r="K46" s="36">
        <f>(K44/$K$7)^(1/4)-1</f>
        <v>0.4433595247</v>
      </c>
      <c r="L46" s="36">
        <f>(L44/$K$7)^(1/5)-1</f>
        <v>0.3576503117</v>
      </c>
      <c r="M46" s="1"/>
      <c r="N46" s="6"/>
      <c r="O46" s="6"/>
      <c r="P46" s="6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6"/>
      <c r="O47" s="6"/>
      <c r="P47" s="6"/>
    </row>
    <row r="48" ht="15.75" customHeight="1">
      <c r="A48" s="1"/>
      <c r="B48" s="13"/>
      <c r="C48" s="13"/>
      <c r="D48" s="13"/>
      <c r="E48" s="14" t="str">
        <f>+$E$14</f>
        <v>Historical</v>
      </c>
      <c r="F48" s="15"/>
      <c r="G48" s="16"/>
      <c r="H48" s="17" t="str">
        <f>+$H$14</f>
        <v>Projected</v>
      </c>
      <c r="I48" s="15"/>
      <c r="J48" s="15"/>
      <c r="K48" s="15"/>
      <c r="L48" s="16"/>
      <c r="N48" s="6"/>
      <c r="O48" s="6"/>
      <c r="P48" s="6"/>
    </row>
    <row r="49" ht="15.75" customHeight="1">
      <c r="A49" s="1"/>
      <c r="B49" s="18" t="s">
        <v>39</v>
      </c>
      <c r="C49" s="18"/>
      <c r="D49" s="19" t="str">
        <f>+$D$15</f>
        <v>Units:</v>
      </c>
      <c r="E49" s="20">
        <f>+$E$15</f>
        <v>41608</v>
      </c>
      <c r="F49" s="20">
        <f>+$F$15</f>
        <v>41973</v>
      </c>
      <c r="G49" s="20">
        <f>+$G$15</f>
        <v>42338</v>
      </c>
      <c r="H49" s="21">
        <f>+$H$15</f>
        <v>42704</v>
      </c>
      <c r="I49" s="20">
        <f>+$I$15</f>
        <v>43069</v>
      </c>
      <c r="J49" s="20">
        <f>+$J$15</f>
        <v>43434</v>
      </c>
      <c r="K49" s="20">
        <f>+$K$15</f>
        <v>43799</v>
      </c>
      <c r="L49" s="20">
        <f>+$L$15</f>
        <v>44165</v>
      </c>
      <c r="N49" s="6"/>
      <c r="O49" s="6"/>
      <c r="P49" s="6"/>
    </row>
    <row r="50" ht="15.75" customHeight="1">
      <c r="A50" s="1"/>
      <c r="B50" s="22" t="s">
        <v>40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N50" s="6"/>
      <c r="O50" s="6"/>
      <c r="P50" s="6"/>
    </row>
    <row r="51" ht="15.75" customHeight="1">
      <c r="A51" s="1"/>
      <c r="B51" s="2"/>
      <c r="C51" s="29"/>
      <c r="D51" s="23"/>
      <c r="E51" s="37"/>
      <c r="F51" s="37"/>
      <c r="G51" s="37"/>
      <c r="H51" s="37"/>
      <c r="I51" s="37"/>
      <c r="J51" s="37"/>
      <c r="K51" s="37"/>
      <c r="L51" s="37"/>
      <c r="N51" s="6"/>
      <c r="O51" s="6"/>
      <c r="P51" s="6"/>
    </row>
    <row r="52" ht="15.75" customHeight="1">
      <c r="A52" s="1"/>
      <c r="B52" s="2"/>
      <c r="C52" s="29" t="s">
        <v>41</v>
      </c>
      <c r="D52" s="25" t="s">
        <v>42</v>
      </c>
      <c r="E52" s="38">
        <v>192.0</v>
      </c>
      <c r="F52" s="38">
        <v>271.0</v>
      </c>
      <c r="G52" s="38">
        <v>417.0</v>
      </c>
      <c r="H52" s="39">
        <f t="shared" ref="H52:L52" si="23">+G52*(1+H53)</f>
        <v>625.5</v>
      </c>
      <c r="I52" s="39">
        <f t="shared" si="23"/>
        <v>875.7</v>
      </c>
      <c r="J52" s="39">
        <f t="shared" si="23"/>
        <v>1138.41</v>
      </c>
      <c r="K52" s="39">
        <f t="shared" si="23"/>
        <v>1423.0125</v>
      </c>
      <c r="L52" s="39">
        <f t="shared" si="23"/>
        <v>1707.615</v>
      </c>
      <c r="N52" s="6"/>
      <c r="O52" s="6"/>
      <c r="P52" s="6"/>
    </row>
    <row r="53" ht="15.75" customHeight="1">
      <c r="A53" s="1"/>
      <c r="B53" s="2"/>
      <c r="C53" s="29" t="s">
        <v>43</v>
      </c>
      <c r="D53" s="23" t="s">
        <v>18</v>
      </c>
      <c r="E53" s="36"/>
      <c r="F53" s="36">
        <f t="shared" ref="F53:G53" si="24">+F52/E52-1</f>
        <v>0.4114583333</v>
      </c>
      <c r="G53" s="36">
        <f t="shared" si="24"/>
        <v>0.5387453875</v>
      </c>
      <c r="H53" s="12">
        <v>0.5</v>
      </c>
      <c r="I53" s="12">
        <v>0.4</v>
      </c>
      <c r="J53" s="12">
        <v>0.3</v>
      </c>
      <c r="K53" s="12">
        <v>0.25</v>
      </c>
      <c r="L53" s="12">
        <v>0.2</v>
      </c>
      <c r="N53" s="6"/>
      <c r="O53" s="6"/>
      <c r="P53" s="6"/>
    </row>
    <row r="54" ht="15.75" customHeight="1">
      <c r="A54" s="1"/>
      <c r="B54" s="2"/>
      <c r="C54" s="29"/>
      <c r="D54" s="25"/>
      <c r="E54" s="40"/>
      <c r="F54" s="40"/>
      <c r="G54" s="40"/>
      <c r="H54" s="37"/>
      <c r="I54" s="37"/>
      <c r="J54" s="37"/>
      <c r="K54" s="37"/>
      <c r="L54" s="37"/>
      <c r="N54" s="6"/>
      <c r="O54" s="6"/>
      <c r="P54" s="6"/>
    </row>
    <row r="55" ht="15.75" customHeight="1">
      <c r="A55" s="1"/>
      <c r="B55" s="2"/>
      <c r="C55" s="29" t="s">
        <v>44</v>
      </c>
      <c r="D55" s="23" t="s">
        <v>16</v>
      </c>
      <c r="E55" s="41">
        <f t="shared" ref="E55:G55" si="25">+E129/E52</f>
        <v>0.2052083333</v>
      </c>
      <c r="F55" s="41">
        <f t="shared" si="25"/>
        <v>0.2305239852</v>
      </c>
      <c r="G55" s="41">
        <f t="shared" si="25"/>
        <v>0.2277769784</v>
      </c>
      <c r="H55" s="41">
        <f t="shared" ref="H55:L55" si="26">+G55*(1+H56)</f>
        <v>0.2346102878</v>
      </c>
      <c r="I55" s="41">
        <f t="shared" si="26"/>
        <v>0.2416485964</v>
      </c>
      <c r="J55" s="41">
        <f t="shared" si="26"/>
        <v>0.2464815683</v>
      </c>
      <c r="K55" s="41">
        <f t="shared" si="26"/>
        <v>0.2514111997</v>
      </c>
      <c r="L55" s="41">
        <f t="shared" si="26"/>
        <v>0.2564394237</v>
      </c>
      <c r="N55" s="6"/>
      <c r="O55" s="6"/>
      <c r="P55" s="6"/>
    </row>
    <row r="56" ht="15.75" customHeight="1">
      <c r="A56" s="1"/>
      <c r="B56" s="2"/>
      <c r="C56" s="29" t="s">
        <v>43</v>
      </c>
      <c r="D56" s="23" t="s">
        <v>18</v>
      </c>
      <c r="E56" s="36"/>
      <c r="F56" s="36">
        <f t="shared" ref="F56:G56" si="27">+F55/E55-1</f>
        <v>0.1233656134</v>
      </c>
      <c r="G56" s="36">
        <f t="shared" si="27"/>
        <v>-0.01191636011</v>
      </c>
      <c r="H56" s="12">
        <v>0.03</v>
      </c>
      <c r="I56" s="12">
        <v>0.03</v>
      </c>
      <c r="J56" s="12">
        <v>0.02</v>
      </c>
      <c r="K56" s="12">
        <v>0.02</v>
      </c>
      <c r="L56" s="12">
        <v>0.02</v>
      </c>
      <c r="N56" s="6"/>
      <c r="O56" s="6"/>
      <c r="P56" s="6"/>
    </row>
    <row r="57" ht="15.75" customHeight="1">
      <c r="A57" s="1"/>
      <c r="B57" s="2"/>
      <c r="C57" s="29"/>
      <c r="D57" s="23"/>
      <c r="E57" s="37"/>
      <c r="F57" s="37"/>
      <c r="G57" s="37"/>
      <c r="H57" s="37"/>
      <c r="I57" s="37"/>
      <c r="J57" s="37"/>
      <c r="K57" s="37"/>
      <c r="L57" s="37"/>
      <c r="N57" s="6"/>
      <c r="O57" s="6"/>
      <c r="P57" s="6"/>
    </row>
    <row r="58" ht="15.75" customHeight="1">
      <c r="A58" s="1"/>
      <c r="B58" s="2"/>
      <c r="C58" s="29" t="s">
        <v>45</v>
      </c>
      <c r="D58" s="25" t="s">
        <v>42</v>
      </c>
      <c r="E58" s="38">
        <v>53.0</v>
      </c>
      <c r="F58" s="38">
        <v>66.0</v>
      </c>
      <c r="G58" s="38">
        <v>88.0</v>
      </c>
      <c r="H58" s="39">
        <f t="shared" ref="H58:L58" si="28">+H59*H52</f>
        <v>131.355</v>
      </c>
      <c r="I58" s="39">
        <f t="shared" si="28"/>
        <v>175.14</v>
      </c>
      <c r="J58" s="39">
        <f t="shared" si="28"/>
        <v>216.2979</v>
      </c>
      <c r="K58" s="39">
        <f t="shared" si="28"/>
        <v>256.14225</v>
      </c>
      <c r="L58" s="39">
        <f t="shared" si="28"/>
        <v>290.29455</v>
      </c>
      <c r="N58" s="6"/>
      <c r="O58" s="6"/>
      <c r="P58" s="6"/>
    </row>
    <row r="59" ht="15.75" customHeight="1">
      <c r="A59" s="1"/>
      <c r="B59" s="2"/>
      <c r="C59" s="29" t="s">
        <v>46</v>
      </c>
      <c r="D59" s="23" t="s">
        <v>18</v>
      </c>
      <c r="E59" s="37">
        <f t="shared" ref="E59:G59" si="29">+E58/E52</f>
        <v>0.2760416667</v>
      </c>
      <c r="F59" s="37">
        <f t="shared" si="29"/>
        <v>0.2435424354</v>
      </c>
      <c r="G59" s="37">
        <f t="shared" si="29"/>
        <v>0.2110311751</v>
      </c>
      <c r="H59" s="12">
        <v>0.21</v>
      </c>
      <c r="I59" s="12">
        <v>0.2</v>
      </c>
      <c r="J59" s="12">
        <v>0.19</v>
      </c>
      <c r="K59" s="12">
        <v>0.18</v>
      </c>
      <c r="L59" s="12">
        <v>0.17</v>
      </c>
      <c r="N59" s="6"/>
      <c r="O59" s="6"/>
      <c r="P59" s="6"/>
    </row>
    <row r="60" ht="15.75" customHeight="1">
      <c r="A60" s="1"/>
      <c r="B60" s="2"/>
      <c r="C60" s="29"/>
      <c r="D60" s="23"/>
      <c r="E60" s="37"/>
      <c r="F60" s="37"/>
      <c r="G60" s="37"/>
      <c r="H60" s="37"/>
      <c r="I60" s="37"/>
      <c r="J60" s="37"/>
      <c r="K60" s="37"/>
      <c r="L60" s="37"/>
      <c r="N60" s="6"/>
      <c r="O60" s="6"/>
      <c r="P60" s="6"/>
    </row>
    <row r="61" ht="15.75" customHeight="1">
      <c r="A61" s="1"/>
      <c r="B61" s="2"/>
      <c r="C61" s="29" t="s">
        <v>47</v>
      </c>
      <c r="D61" s="23" t="s">
        <v>18</v>
      </c>
      <c r="E61" s="37">
        <f t="shared" ref="E61:G61" si="30">+E132/E129</f>
        <v>0.5126903553</v>
      </c>
      <c r="F61" s="37">
        <f t="shared" si="30"/>
        <v>0.4794948137</v>
      </c>
      <c r="G61" s="37">
        <f t="shared" si="30"/>
        <v>0.4842866618</v>
      </c>
      <c r="H61" s="12">
        <v>0.48</v>
      </c>
      <c r="I61" s="12">
        <v>0.47</v>
      </c>
      <c r="J61" s="12">
        <v>0.46</v>
      </c>
      <c r="K61" s="12">
        <v>0.45</v>
      </c>
      <c r="L61" s="12">
        <v>0.44</v>
      </c>
      <c r="N61" s="6"/>
      <c r="O61" s="6"/>
      <c r="P61" s="6"/>
    </row>
    <row r="62" ht="15.75" customHeight="1">
      <c r="A62" s="1"/>
      <c r="B62" s="2"/>
      <c r="C62" s="29"/>
      <c r="D62" s="23"/>
      <c r="E62" s="37"/>
      <c r="F62" s="37"/>
      <c r="G62" s="37"/>
      <c r="H62" s="37"/>
      <c r="I62" s="37"/>
      <c r="J62" s="37"/>
      <c r="K62" s="37"/>
      <c r="L62" s="37"/>
      <c r="N62" s="6"/>
      <c r="O62" s="6"/>
      <c r="P62" s="6"/>
    </row>
    <row r="63" ht="15.75" customHeight="1">
      <c r="A63" s="1"/>
      <c r="B63" s="2"/>
      <c r="C63" s="29" t="s">
        <v>48</v>
      </c>
      <c r="D63" s="23" t="s">
        <v>16</v>
      </c>
      <c r="E63" s="41">
        <f t="shared" ref="E63:G63" si="31">+E135/(E52+E58)</f>
        <v>0.04081632653</v>
      </c>
      <c r="F63" s="41">
        <f t="shared" si="31"/>
        <v>0.04865281899</v>
      </c>
      <c r="G63" s="41">
        <f t="shared" si="31"/>
        <v>0.05074059406</v>
      </c>
      <c r="H63" s="41">
        <f t="shared" ref="H63:L63" si="32">+G63*(1+H64)</f>
        <v>0.05327762376</v>
      </c>
      <c r="I63" s="41">
        <f t="shared" si="32"/>
        <v>0.05594150495</v>
      </c>
      <c r="J63" s="41">
        <f t="shared" si="32"/>
        <v>0.05817916515</v>
      </c>
      <c r="K63" s="41">
        <f t="shared" si="32"/>
        <v>0.06050633175</v>
      </c>
      <c r="L63" s="41">
        <f t="shared" si="32"/>
        <v>0.06292658502</v>
      </c>
      <c r="N63" s="6"/>
      <c r="O63" s="6"/>
      <c r="P63" s="6"/>
    </row>
    <row r="64" ht="15.75" customHeight="1">
      <c r="A64" s="1"/>
      <c r="B64" s="2"/>
      <c r="C64" s="29" t="s">
        <v>43</v>
      </c>
      <c r="D64" s="23" t="s">
        <v>18</v>
      </c>
      <c r="E64" s="36"/>
      <c r="F64" s="36">
        <f t="shared" ref="F64:G64" si="33">+F63/E63-1</f>
        <v>0.1919940653</v>
      </c>
      <c r="G64" s="36">
        <f t="shared" si="33"/>
        <v>0.04291169785</v>
      </c>
      <c r="H64" s="12">
        <v>0.05</v>
      </c>
      <c r="I64" s="12">
        <v>0.05</v>
      </c>
      <c r="J64" s="12">
        <v>0.04</v>
      </c>
      <c r="K64" s="12">
        <v>0.04</v>
      </c>
      <c r="L64" s="12">
        <v>0.04</v>
      </c>
      <c r="N64" s="6"/>
      <c r="O64" s="6"/>
      <c r="P64" s="6"/>
    </row>
    <row r="65" ht="15.75" customHeight="1">
      <c r="A65" s="1"/>
      <c r="B65" s="2"/>
      <c r="C65" s="29"/>
      <c r="D65" s="23"/>
      <c r="E65" s="37"/>
      <c r="F65" s="37"/>
      <c r="G65" s="37"/>
      <c r="H65" s="37"/>
      <c r="I65" s="37"/>
      <c r="J65" s="37"/>
      <c r="K65" s="37"/>
      <c r="L65" s="37"/>
      <c r="N65" s="6"/>
      <c r="O65" s="6"/>
      <c r="P65" s="6"/>
    </row>
    <row r="66" ht="15.75" customHeight="1">
      <c r="A66" s="1"/>
      <c r="B66" s="2"/>
      <c r="C66" s="29" t="s">
        <v>49</v>
      </c>
      <c r="D66" s="23" t="s">
        <v>16</v>
      </c>
      <c r="E66" s="27">
        <f t="shared" ref="E66:G66" si="34">+E136</f>
        <v>4.9</v>
      </c>
      <c r="F66" s="27">
        <f t="shared" si="34"/>
        <v>5.2</v>
      </c>
      <c r="G66" s="27">
        <f t="shared" si="34"/>
        <v>5.6</v>
      </c>
      <c r="H66" s="27">
        <f t="shared" ref="H66:L66" si="35">+G66*(1+H67)</f>
        <v>5.936</v>
      </c>
      <c r="I66" s="27">
        <f t="shared" si="35"/>
        <v>6.26248</v>
      </c>
      <c r="J66" s="27">
        <f t="shared" si="35"/>
        <v>6.575604</v>
      </c>
      <c r="K66" s="27">
        <f t="shared" si="35"/>
        <v>6.87150618</v>
      </c>
      <c r="L66" s="27">
        <f t="shared" si="35"/>
        <v>7.146366427</v>
      </c>
      <c r="N66" s="6"/>
      <c r="O66" s="6"/>
      <c r="P66" s="6"/>
    </row>
    <row r="67" ht="15.75" customHeight="1">
      <c r="A67" s="1"/>
      <c r="B67" s="2"/>
      <c r="C67" s="29" t="s">
        <v>43</v>
      </c>
      <c r="D67" s="23" t="s">
        <v>18</v>
      </c>
      <c r="E67" s="36"/>
      <c r="F67" s="36">
        <f t="shared" ref="F67:G67" si="36">+F66/E66-1</f>
        <v>0.0612244898</v>
      </c>
      <c r="G67" s="36">
        <f t="shared" si="36"/>
        <v>0.07692307692</v>
      </c>
      <c r="H67" s="12">
        <v>0.06</v>
      </c>
      <c r="I67" s="12">
        <v>0.055</v>
      </c>
      <c r="J67" s="12">
        <v>0.05</v>
      </c>
      <c r="K67" s="12">
        <v>0.045</v>
      </c>
      <c r="L67" s="12">
        <v>0.04</v>
      </c>
      <c r="N67" s="6"/>
      <c r="O67" s="6"/>
      <c r="P67" s="6"/>
    </row>
    <row r="68" ht="15.75" customHeight="1">
      <c r="A68" s="1"/>
      <c r="B68" s="2"/>
      <c r="C68" s="29"/>
      <c r="D68" s="23"/>
      <c r="E68" s="37"/>
      <c r="F68" s="37"/>
      <c r="G68" s="37"/>
      <c r="H68" s="37"/>
      <c r="I68" s="37"/>
      <c r="J68" s="37"/>
      <c r="K68" s="37"/>
      <c r="L68" s="37"/>
      <c r="N68" s="6"/>
      <c r="O68" s="6"/>
      <c r="P68" s="6"/>
    </row>
    <row r="69" ht="15.75" customHeight="1">
      <c r="A69" s="1"/>
      <c r="B69" s="2"/>
      <c r="C69" s="29" t="s">
        <v>50</v>
      </c>
      <c r="D69" s="23" t="s">
        <v>18</v>
      </c>
      <c r="E69" s="37"/>
      <c r="F69" s="37"/>
      <c r="G69" s="37"/>
      <c r="H69" s="12">
        <v>0.2</v>
      </c>
      <c r="I69" s="12">
        <v>0.19</v>
      </c>
      <c r="J69" s="12">
        <v>0.19</v>
      </c>
      <c r="K69" s="12">
        <v>0.19</v>
      </c>
      <c r="L69" s="12">
        <v>0.18</v>
      </c>
      <c r="N69" s="6"/>
      <c r="O69" s="6"/>
      <c r="P69" s="6"/>
    </row>
    <row r="70" ht="15.75" customHeight="1">
      <c r="A70" s="1"/>
      <c r="B70" s="2"/>
      <c r="C70" s="29"/>
      <c r="D70" s="23"/>
      <c r="E70" s="37"/>
      <c r="F70" s="37"/>
      <c r="G70" s="37"/>
      <c r="H70" s="37"/>
      <c r="I70" s="37"/>
      <c r="J70" s="37"/>
      <c r="K70" s="37"/>
      <c r="L70" s="37"/>
      <c r="N70" s="6"/>
      <c r="O70" s="6"/>
      <c r="P70" s="6"/>
    </row>
    <row r="71" ht="15.75" customHeight="1">
      <c r="A71" s="1"/>
      <c r="B71" s="22" t="s">
        <v>51</v>
      </c>
      <c r="C71" s="22"/>
      <c r="D71" s="42" t="s">
        <v>52</v>
      </c>
      <c r="E71" s="42" t="s">
        <v>53</v>
      </c>
      <c r="F71" s="42" t="s">
        <v>54</v>
      </c>
      <c r="G71" s="42" t="s">
        <v>55</v>
      </c>
      <c r="H71" s="22"/>
      <c r="I71" s="22"/>
      <c r="J71" s="22"/>
      <c r="K71" s="22"/>
      <c r="L71" s="22"/>
      <c r="N71" s="6"/>
      <c r="O71" s="6"/>
      <c r="P71" s="6"/>
    </row>
    <row r="72" ht="15.75" customHeight="1">
      <c r="A72" s="1"/>
      <c r="B72" s="2"/>
      <c r="C72" s="29" t="s">
        <v>56</v>
      </c>
      <c r="D72" s="43">
        <v>10.1859</v>
      </c>
      <c r="E72" s="44">
        <v>350.0</v>
      </c>
      <c r="F72" s="45">
        <v>0.1</v>
      </c>
      <c r="G72" s="46">
        <v>0.0</v>
      </c>
      <c r="K72" s="37"/>
      <c r="L72" s="37"/>
      <c r="N72" s="6"/>
      <c r="O72" s="6"/>
      <c r="P72" s="6"/>
    </row>
    <row r="73" ht="15.75" customHeight="1">
      <c r="A73" s="1"/>
      <c r="B73" s="2"/>
      <c r="C73" s="29" t="s">
        <v>57</v>
      </c>
      <c r="D73" s="43">
        <v>23.7671</v>
      </c>
      <c r="E73" s="47">
        <v>400.0</v>
      </c>
      <c r="F73" s="45">
        <v>0.0</v>
      </c>
      <c r="G73" s="46">
        <v>0.0</v>
      </c>
      <c r="K73" s="37"/>
      <c r="L73" s="37"/>
      <c r="N73" s="6"/>
      <c r="O73" s="6"/>
      <c r="P73" s="6"/>
    </row>
    <row r="74" ht="15.75" customHeight="1">
      <c r="A74" s="1"/>
      <c r="B74" s="2"/>
      <c r="C74" s="29" t="s">
        <v>58</v>
      </c>
      <c r="D74" s="43">
        <v>5.0</v>
      </c>
      <c r="E74" s="45">
        <v>0.1</v>
      </c>
      <c r="F74" s="45">
        <v>0.0</v>
      </c>
      <c r="G74" s="46">
        <v>1.0</v>
      </c>
      <c r="K74" s="37"/>
      <c r="L74" s="37"/>
      <c r="N74" s="6"/>
      <c r="O74" s="6"/>
      <c r="P74" s="6"/>
    </row>
    <row r="75" ht="15.75" customHeight="1">
      <c r="A75" s="1"/>
      <c r="B75" s="2"/>
      <c r="C75" s="29" t="s">
        <v>59</v>
      </c>
      <c r="D75" s="27">
        <f>+G150</f>
        <v>12.149</v>
      </c>
      <c r="E75" s="47">
        <v>50.0</v>
      </c>
      <c r="F75" s="37"/>
      <c r="G75" s="37"/>
      <c r="K75" s="37"/>
      <c r="L75" s="37"/>
      <c r="N75" s="6"/>
      <c r="O75" s="6"/>
      <c r="P75" s="6"/>
    </row>
    <row r="76" ht="15.75" customHeight="1">
      <c r="A76" s="1"/>
      <c r="B76" s="2"/>
      <c r="C76" s="29"/>
      <c r="D76" s="23"/>
      <c r="E76" s="37"/>
      <c r="F76" s="37"/>
      <c r="G76" s="37"/>
      <c r="H76" s="37"/>
      <c r="I76" s="37"/>
      <c r="J76" s="37"/>
      <c r="K76" s="37"/>
      <c r="L76" s="37"/>
      <c r="N76" s="6"/>
      <c r="O76" s="6"/>
      <c r="P76" s="6"/>
    </row>
    <row r="77" ht="15.75" customHeight="1">
      <c r="A77" s="1"/>
      <c r="B77" s="2"/>
      <c r="C77" s="29" t="s">
        <v>60</v>
      </c>
      <c r="D77" s="23" t="s">
        <v>18</v>
      </c>
      <c r="E77" s="37"/>
      <c r="F77" s="37"/>
      <c r="G77" s="37"/>
      <c r="H77" s="48">
        <v>0.01</v>
      </c>
      <c r="I77" s="48">
        <v>0.012</v>
      </c>
      <c r="J77" s="48">
        <v>0.012</v>
      </c>
      <c r="K77" s="48">
        <v>0.014</v>
      </c>
      <c r="L77" s="48">
        <v>0.015</v>
      </c>
      <c r="N77" s="6"/>
      <c r="O77" s="6"/>
      <c r="P77" s="6"/>
    </row>
    <row r="78" ht="15.75" customHeight="1">
      <c r="A78" s="1"/>
      <c r="B78" s="2"/>
      <c r="C78" s="29" t="s">
        <v>61</v>
      </c>
      <c r="D78" s="23" t="s">
        <v>18</v>
      </c>
      <c r="E78" s="37"/>
      <c r="F78" s="37"/>
      <c r="G78" s="37"/>
      <c r="H78" s="37">
        <f t="shared" ref="H78:L78" si="37">+H77+$E$72/10000</f>
        <v>0.045</v>
      </c>
      <c r="I78" s="37">
        <f t="shared" si="37"/>
        <v>0.047</v>
      </c>
      <c r="J78" s="37">
        <f t="shared" si="37"/>
        <v>0.047</v>
      </c>
      <c r="K78" s="37">
        <f t="shared" si="37"/>
        <v>0.049</v>
      </c>
      <c r="L78" s="37">
        <f t="shared" si="37"/>
        <v>0.05</v>
      </c>
      <c r="N78" s="6"/>
      <c r="O78" s="6"/>
      <c r="P78" s="6"/>
    </row>
    <row r="79" ht="15.75" customHeight="1">
      <c r="A79" s="1"/>
      <c r="B79" s="2"/>
      <c r="C79" s="29" t="s">
        <v>62</v>
      </c>
      <c r="D79" s="23" t="s">
        <v>18</v>
      </c>
      <c r="E79" s="37"/>
      <c r="F79" s="37"/>
      <c r="G79" s="37"/>
      <c r="H79" s="37">
        <f t="shared" ref="H79:L79" si="38">+H77+$E$73/10000</f>
        <v>0.05</v>
      </c>
      <c r="I79" s="37">
        <f t="shared" si="38"/>
        <v>0.052</v>
      </c>
      <c r="J79" s="37">
        <f t="shared" si="38"/>
        <v>0.052</v>
      </c>
      <c r="K79" s="37">
        <f t="shared" si="38"/>
        <v>0.054</v>
      </c>
      <c r="L79" s="37">
        <f t="shared" si="38"/>
        <v>0.055</v>
      </c>
      <c r="N79" s="6"/>
      <c r="O79" s="6"/>
      <c r="P79" s="6"/>
    </row>
    <row r="80" ht="15.75" customHeight="1">
      <c r="A80" s="1"/>
      <c r="B80" s="2"/>
      <c r="C80" s="29" t="s">
        <v>63</v>
      </c>
      <c r="D80" s="23" t="s">
        <v>18</v>
      </c>
      <c r="E80" s="37"/>
      <c r="F80" s="37"/>
      <c r="G80" s="37"/>
      <c r="H80" s="37">
        <f t="shared" ref="H80:L80" si="39">+$E$74</f>
        <v>0.1</v>
      </c>
      <c r="I80" s="37">
        <f t="shared" si="39"/>
        <v>0.1</v>
      </c>
      <c r="J80" s="37">
        <f t="shared" si="39"/>
        <v>0.1</v>
      </c>
      <c r="K80" s="37">
        <f t="shared" si="39"/>
        <v>0.1</v>
      </c>
      <c r="L80" s="37">
        <f t="shared" si="39"/>
        <v>0.1</v>
      </c>
      <c r="N80" s="6"/>
      <c r="O80" s="6"/>
      <c r="P80" s="6"/>
    </row>
    <row r="81" ht="15.75" customHeight="1">
      <c r="A81" s="1"/>
      <c r="B81" s="2"/>
      <c r="C81" s="29" t="s">
        <v>64</v>
      </c>
      <c r="D81" s="23" t="s">
        <v>18</v>
      </c>
      <c r="E81" s="37"/>
      <c r="F81" s="37"/>
      <c r="G81" s="37"/>
      <c r="H81" s="37">
        <f t="shared" ref="H81:L81" si="40">+H77+$E$75/10000</f>
        <v>0.015</v>
      </c>
      <c r="I81" s="37">
        <f t="shared" si="40"/>
        <v>0.017</v>
      </c>
      <c r="J81" s="37">
        <f t="shared" si="40"/>
        <v>0.017</v>
      </c>
      <c r="K81" s="37">
        <f t="shared" si="40"/>
        <v>0.019</v>
      </c>
      <c r="L81" s="37">
        <f t="shared" si="40"/>
        <v>0.02</v>
      </c>
      <c r="N81" s="6"/>
      <c r="O81" s="6"/>
      <c r="P81" s="6"/>
    </row>
    <row r="82" ht="15.75" customHeight="1">
      <c r="A82" s="1"/>
      <c r="B82" s="2"/>
      <c r="C82" s="29"/>
      <c r="D82" s="23"/>
      <c r="E82" s="37"/>
      <c r="F82" s="37"/>
      <c r="G82" s="37"/>
      <c r="H82" s="37"/>
      <c r="I82" s="37"/>
      <c r="J82" s="37"/>
      <c r="K82" s="37"/>
      <c r="L82" s="37"/>
      <c r="N82" s="6"/>
      <c r="O82" s="6"/>
      <c r="P82" s="6"/>
    </row>
    <row r="83" ht="15.75" customHeight="1">
      <c r="A83" s="1"/>
      <c r="B83" s="2"/>
      <c r="C83" s="29" t="s">
        <v>65</v>
      </c>
      <c r="D83" s="23" t="s">
        <v>16</v>
      </c>
      <c r="E83" s="37"/>
      <c r="F83" s="37"/>
      <c r="G83" s="37"/>
      <c r="H83" s="27">
        <f>+D72</f>
        <v>10.1859</v>
      </c>
      <c r="I83" s="27">
        <f t="shared" ref="I83:L83" si="41">+H85</f>
        <v>9.16731</v>
      </c>
      <c r="J83" s="27">
        <f t="shared" si="41"/>
        <v>8.14872</v>
      </c>
      <c r="K83" s="27">
        <f t="shared" si="41"/>
        <v>7.13013</v>
      </c>
      <c r="L83" s="27">
        <f t="shared" si="41"/>
        <v>6.11154</v>
      </c>
      <c r="N83" s="6"/>
      <c r="O83" s="6"/>
      <c r="P83" s="6"/>
    </row>
    <row r="84" ht="15.75" customHeight="1">
      <c r="A84" s="1"/>
      <c r="B84" s="2"/>
      <c r="C84" s="29" t="s">
        <v>66</v>
      </c>
      <c r="D84" s="30" t="s">
        <v>16</v>
      </c>
      <c r="E84" s="37"/>
      <c r="F84" s="37"/>
      <c r="G84" s="37"/>
      <c r="H84" s="49">
        <f t="shared" ref="H84:L84" si="42">-$D$72*$F$72</f>
        <v>-1.01859</v>
      </c>
      <c r="I84" s="49">
        <f t="shared" si="42"/>
        <v>-1.01859</v>
      </c>
      <c r="J84" s="49">
        <f t="shared" si="42"/>
        <v>-1.01859</v>
      </c>
      <c r="K84" s="49">
        <f t="shared" si="42"/>
        <v>-1.01859</v>
      </c>
      <c r="L84" s="49">
        <f t="shared" si="42"/>
        <v>-1.01859</v>
      </c>
      <c r="N84" s="6"/>
      <c r="O84" s="6"/>
      <c r="P84" s="6"/>
    </row>
    <row r="85" ht="15.75" customHeight="1">
      <c r="A85" s="1"/>
      <c r="B85" s="2"/>
      <c r="C85" s="50" t="s">
        <v>67</v>
      </c>
      <c r="D85" s="23" t="s">
        <v>16</v>
      </c>
      <c r="E85" s="51"/>
      <c r="F85" s="51"/>
      <c r="G85" s="51"/>
      <c r="H85" s="34">
        <f t="shared" ref="H85:L85" si="43">SUM(H83:H84)</f>
        <v>9.16731</v>
      </c>
      <c r="I85" s="34">
        <f t="shared" si="43"/>
        <v>8.14872</v>
      </c>
      <c r="J85" s="34">
        <f t="shared" si="43"/>
        <v>7.13013</v>
      </c>
      <c r="K85" s="34">
        <f t="shared" si="43"/>
        <v>6.11154</v>
      </c>
      <c r="L85" s="34">
        <f t="shared" si="43"/>
        <v>5.09295</v>
      </c>
      <c r="N85" s="6"/>
      <c r="O85" s="6"/>
      <c r="P85" s="6"/>
    </row>
    <row r="86" ht="15.75" customHeight="1">
      <c r="A86" s="1"/>
      <c r="B86" s="2"/>
      <c r="C86" s="29"/>
      <c r="D86" s="23"/>
      <c r="E86" s="37"/>
      <c r="F86" s="37"/>
      <c r="G86" s="37"/>
      <c r="H86" s="37"/>
      <c r="I86" s="37"/>
      <c r="J86" s="37"/>
      <c r="K86" s="37"/>
      <c r="L86" s="37"/>
      <c r="N86" s="6"/>
      <c r="O86" s="6"/>
      <c r="P86" s="6"/>
    </row>
    <row r="87" ht="15.75" customHeight="1">
      <c r="A87" s="1"/>
      <c r="B87" s="2"/>
      <c r="C87" s="29" t="s">
        <v>61</v>
      </c>
      <c r="D87" s="23" t="s">
        <v>16</v>
      </c>
      <c r="E87" s="37"/>
      <c r="F87" s="37"/>
      <c r="G87" s="37"/>
      <c r="H87" s="27">
        <f t="shared" ref="H87:L87" si="44">+H83*H78</f>
        <v>0.4583655</v>
      </c>
      <c r="I87" s="27">
        <f t="shared" si="44"/>
        <v>0.43086357</v>
      </c>
      <c r="J87" s="27">
        <f t="shared" si="44"/>
        <v>0.38298984</v>
      </c>
      <c r="K87" s="27">
        <f t="shared" si="44"/>
        <v>0.34937637</v>
      </c>
      <c r="L87" s="27">
        <f t="shared" si="44"/>
        <v>0.305577</v>
      </c>
      <c r="N87" s="6"/>
      <c r="O87" s="6"/>
      <c r="P87" s="6"/>
    </row>
    <row r="88" ht="15.75" customHeight="1">
      <c r="A88" s="1"/>
      <c r="B88" s="2"/>
      <c r="C88" s="29"/>
      <c r="D88" s="23"/>
      <c r="E88" s="37"/>
      <c r="F88" s="37"/>
      <c r="G88" s="37"/>
      <c r="H88" s="37"/>
      <c r="I88" s="37"/>
      <c r="J88" s="37"/>
      <c r="K88" s="37"/>
      <c r="L88" s="37"/>
      <c r="N88" s="6"/>
      <c r="O88" s="6"/>
      <c r="P88" s="6"/>
    </row>
    <row r="89" ht="15.75" customHeight="1">
      <c r="A89" s="1"/>
      <c r="B89" s="2"/>
      <c r="C89" s="29" t="s">
        <v>68</v>
      </c>
      <c r="D89" s="23" t="s">
        <v>16</v>
      </c>
      <c r="E89" s="37"/>
      <c r="F89" s="37"/>
      <c r="G89" s="37"/>
      <c r="H89" s="27">
        <f>+D73</f>
        <v>23.7671</v>
      </c>
      <c r="I89" s="27">
        <f t="shared" ref="I89:L89" si="45">+H91</f>
        <v>23.7671</v>
      </c>
      <c r="J89" s="27">
        <f t="shared" si="45"/>
        <v>23.7671</v>
      </c>
      <c r="K89" s="27">
        <f t="shared" si="45"/>
        <v>23.7671</v>
      </c>
      <c r="L89" s="27">
        <f t="shared" si="45"/>
        <v>23.7671</v>
      </c>
      <c r="N89" s="6"/>
      <c r="O89" s="6"/>
      <c r="P89" s="6"/>
    </row>
    <row r="90" ht="15.75" customHeight="1">
      <c r="A90" s="1"/>
      <c r="B90" s="2"/>
      <c r="C90" s="29" t="s">
        <v>66</v>
      </c>
      <c r="D90" s="30" t="s">
        <v>16</v>
      </c>
      <c r="E90" s="37"/>
      <c r="F90" s="37"/>
      <c r="G90" s="37"/>
      <c r="H90" s="49">
        <f t="shared" ref="H90:L90" si="46">-$D$73*$F$73</f>
        <v>0</v>
      </c>
      <c r="I90" s="49">
        <f t="shared" si="46"/>
        <v>0</v>
      </c>
      <c r="J90" s="49">
        <f t="shared" si="46"/>
        <v>0</v>
      </c>
      <c r="K90" s="49">
        <f t="shared" si="46"/>
        <v>0</v>
      </c>
      <c r="L90" s="49">
        <f t="shared" si="46"/>
        <v>0</v>
      </c>
      <c r="N90" s="6"/>
      <c r="O90" s="6"/>
      <c r="P90" s="6"/>
    </row>
    <row r="91" ht="15.75" customHeight="1">
      <c r="A91" s="1"/>
      <c r="B91" s="2"/>
      <c r="C91" s="50" t="s">
        <v>69</v>
      </c>
      <c r="D91" s="23" t="s">
        <v>16</v>
      </c>
      <c r="E91" s="51"/>
      <c r="F91" s="51"/>
      <c r="G91" s="51"/>
      <c r="H91" s="34">
        <f t="shared" ref="H91:L91" si="47">SUM(H89:H90)</f>
        <v>23.7671</v>
      </c>
      <c r="I91" s="34">
        <f t="shared" si="47"/>
        <v>23.7671</v>
      </c>
      <c r="J91" s="34">
        <f t="shared" si="47"/>
        <v>23.7671</v>
      </c>
      <c r="K91" s="34">
        <f t="shared" si="47"/>
        <v>23.7671</v>
      </c>
      <c r="L91" s="34">
        <f t="shared" si="47"/>
        <v>23.7671</v>
      </c>
      <c r="N91" s="6"/>
      <c r="O91" s="6"/>
      <c r="P91" s="6"/>
    </row>
    <row r="92" ht="15.75" customHeight="1">
      <c r="A92" s="1"/>
      <c r="B92" s="2"/>
      <c r="C92" s="29"/>
      <c r="D92" s="23"/>
      <c r="E92" s="37"/>
      <c r="F92" s="37"/>
      <c r="G92" s="37"/>
      <c r="H92" s="37"/>
      <c r="I92" s="37"/>
      <c r="J92" s="37"/>
      <c r="K92" s="37"/>
      <c r="L92" s="37"/>
      <c r="N92" s="6"/>
      <c r="O92" s="6"/>
      <c r="P92" s="6"/>
    </row>
    <row r="93" ht="15.75" customHeight="1">
      <c r="A93" s="1"/>
      <c r="B93" s="2"/>
      <c r="C93" s="29" t="s">
        <v>62</v>
      </c>
      <c r="D93" s="23" t="s">
        <v>16</v>
      </c>
      <c r="E93" s="37"/>
      <c r="F93" s="37"/>
      <c r="G93" s="37"/>
      <c r="H93" s="27">
        <f t="shared" ref="H93:L93" si="48">+H89*H79</f>
        <v>1.188355</v>
      </c>
      <c r="I93" s="27">
        <f t="shared" si="48"/>
        <v>1.2358892</v>
      </c>
      <c r="J93" s="27">
        <f t="shared" si="48"/>
        <v>1.2358892</v>
      </c>
      <c r="K93" s="27">
        <f t="shared" si="48"/>
        <v>1.2834234</v>
      </c>
      <c r="L93" s="27">
        <f t="shared" si="48"/>
        <v>1.3071905</v>
      </c>
      <c r="N93" s="6"/>
      <c r="O93" s="6"/>
      <c r="P93" s="6"/>
    </row>
    <row r="94" ht="15.75" customHeight="1">
      <c r="A94" s="1"/>
      <c r="B94" s="2"/>
      <c r="C94" s="29"/>
      <c r="D94" s="23"/>
      <c r="E94" s="37"/>
      <c r="F94" s="37"/>
      <c r="G94" s="37"/>
      <c r="H94" s="37"/>
      <c r="I94" s="37"/>
      <c r="J94" s="37"/>
      <c r="K94" s="37"/>
      <c r="L94" s="37"/>
      <c r="N94" s="6"/>
      <c r="O94" s="6"/>
      <c r="P94" s="6"/>
    </row>
    <row r="95" ht="15.75" customHeight="1">
      <c r="A95" s="1"/>
      <c r="B95" s="2"/>
      <c r="C95" s="29" t="s">
        <v>70</v>
      </c>
      <c r="D95" s="23" t="s">
        <v>16</v>
      </c>
      <c r="E95" s="37"/>
      <c r="F95" s="37"/>
      <c r="G95" s="37"/>
      <c r="H95" s="27">
        <f>+D74</f>
        <v>5</v>
      </c>
      <c r="I95" s="27">
        <f t="shared" ref="I95:L95" si="49">+H98</f>
        <v>5.5</v>
      </c>
      <c r="J95" s="27">
        <f t="shared" si="49"/>
        <v>6.05</v>
      </c>
      <c r="K95" s="27">
        <f t="shared" si="49"/>
        <v>6.655</v>
      </c>
      <c r="L95" s="27">
        <f t="shared" si="49"/>
        <v>7.3205</v>
      </c>
      <c r="N95" s="6"/>
      <c r="O95" s="6"/>
      <c r="P95" s="6"/>
    </row>
    <row r="96" ht="15.75" customHeight="1">
      <c r="A96" s="1"/>
      <c r="B96" s="2"/>
      <c r="C96" s="29" t="s">
        <v>66</v>
      </c>
      <c r="D96" s="23" t="s">
        <v>16</v>
      </c>
      <c r="E96" s="37"/>
      <c r="F96" s="37"/>
      <c r="G96" s="37"/>
      <c r="H96" s="43">
        <f t="shared" ref="H96:L96" si="50">-$D$74*$F$74</f>
        <v>0</v>
      </c>
      <c r="I96" s="43">
        <f t="shared" si="50"/>
        <v>0</v>
      </c>
      <c r="J96" s="43">
        <f t="shared" si="50"/>
        <v>0</v>
      </c>
      <c r="K96" s="43">
        <f t="shared" si="50"/>
        <v>0</v>
      </c>
      <c r="L96" s="43">
        <f t="shared" si="50"/>
        <v>0</v>
      </c>
      <c r="N96" s="6"/>
      <c r="O96" s="6"/>
      <c r="P96" s="6"/>
    </row>
    <row r="97" ht="15.75" customHeight="1">
      <c r="A97" s="1"/>
      <c r="B97" s="2"/>
      <c r="C97" s="29" t="s">
        <v>71</v>
      </c>
      <c r="D97" s="30" t="s">
        <v>16</v>
      </c>
      <c r="E97" s="52"/>
      <c r="F97" s="52"/>
      <c r="G97" s="52"/>
      <c r="H97" s="49">
        <f t="shared" ref="H97:L97" si="51">+H95*H80</f>
        <v>0.5</v>
      </c>
      <c r="I97" s="49">
        <f t="shared" si="51"/>
        <v>0.55</v>
      </c>
      <c r="J97" s="49">
        <f t="shared" si="51"/>
        <v>0.605</v>
      </c>
      <c r="K97" s="49">
        <f t="shared" si="51"/>
        <v>0.6655</v>
      </c>
      <c r="L97" s="49">
        <f t="shared" si="51"/>
        <v>0.73205</v>
      </c>
      <c r="N97" s="6"/>
      <c r="O97" s="6"/>
      <c r="P97" s="6"/>
    </row>
    <row r="98" ht="15.75" customHeight="1">
      <c r="A98" s="1"/>
      <c r="B98" s="2"/>
      <c r="C98" s="50" t="s">
        <v>72</v>
      </c>
      <c r="D98" s="23" t="s">
        <v>16</v>
      </c>
      <c r="E98" s="37"/>
      <c r="F98" s="37"/>
      <c r="G98" s="37"/>
      <c r="H98" s="34">
        <f t="shared" ref="H98:L98" si="52">SUM(H95:H97)</f>
        <v>5.5</v>
      </c>
      <c r="I98" s="34">
        <f t="shared" si="52"/>
        <v>6.05</v>
      </c>
      <c r="J98" s="34">
        <f t="shared" si="52"/>
        <v>6.655</v>
      </c>
      <c r="K98" s="34">
        <f t="shared" si="52"/>
        <v>7.3205</v>
      </c>
      <c r="L98" s="34">
        <f t="shared" si="52"/>
        <v>8.05255</v>
      </c>
      <c r="N98" s="6"/>
      <c r="O98" s="6"/>
      <c r="P98" s="6"/>
    </row>
    <row r="99" ht="15.75" customHeight="1">
      <c r="A99" s="1"/>
      <c r="B99" s="2"/>
      <c r="C99" s="29"/>
      <c r="D99" s="23"/>
      <c r="E99" s="37"/>
      <c r="F99" s="37"/>
      <c r="G99" s="37"/>
      <c r="H99" s="37"/>
      <c r="I99" s="37"/>
      <c r="J99" s="37"/>
      <c r="K99" s="37"/>
      <c r="L99" s="37"/>
      <c r="N99" s="6"/>
      <c r="O99" s="6"/>
      <c r="P99" s="6"/>
    </row>
    <row r="100" ht="15.75" customHeight="1">
      <c r="A100" s="1"/>
      <c r="B100" s="2"/>
      <c r="C100" s="29" t="s">
        <v>73</v>
      </c>
      <c r="D100" s="23" t="s">
        <v>16</v>
      </c>
      <c r="E100" s="37"/>
      <c r="F100" s="37"/>
      <c r="G100" s="37"/>
      <c r="H100" s="27">
        <f t="shared" ref="H100:L100" si="53">+H81*G150</f>
        <v>0.182235</v>
      </c>
      <c r="I100" s="27">
        <f t="shared" si="53"/>
        <v>0.33968883</v>
      </c>
      <c r="J100" s="27">
        <f t="shared" si="53"/>
        <v>0.6097279987</v>
      </c>
      <c r="K100" s="27">
        <f t="shared" si="53"/>
        <v>1.012278312</v>
      </c>
      <c r="L100" s="27">
        <f t="shared" si="53"/>
        <v>1.559889749</v>
      </c>
      <c r="N100" s="6"/>
      <c r="O100" s="6"/>
      <c r="P100" s="6"/>
    </row>
    <row r="101" ht="15.75" customHeight="1">
      <c r="A101" s="1"/>
      <c r="B101" s="2"/>
      <c r="C101" s="29"/>
      <c r="D101" s="23"/>
      <c r="E101" s="37"/>
      <c r="F101" s="37"/>
      <c r="G101" s="37"/>
      <c r="H101" s="37"/>
      <c r="I101" s="37"/>
      <c r="J101" s="37"/>
      <c r="K101" s="37"/>
      <c r="L101" s="37"/>
      <c r="N101" s="6"/>
      <c r="O101" s="6"/>
      <c r="P101" s="6"/>
    </row>
    <row r="102" ht="15.75" customHeight="1">
      <c r="A102" s="1"/>
      <c r="B102" s="22" t="s">
        <v>74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</row>
    <row r="103" ht="15.75" customHeight="1">
      <c r="A103" s="1"/>
      <c r="B103" s="1"/>
      <c r="C103" s="29" t="s">
        <v>75</v>
      </c>
      <c r="D103" s="53" t="s">
        <v>18</v>
      </c>
      <c r="E103" s="37">
        <f t="shared" ref="E103:G103" si="54">+E151/E129</f>
        <v>0.1337940609</v>
      </c>
      <c r="F103" s="37">
        <f t="shared" si="54"/>
        <v>0.1953675247</v>
      </c>
      <c r="G103" s="37">
        <f t="shared" si="54"/>
        <v>0.1320973227</v>
      </c>
      <c r="H103" s="12">
        <v>0.13</v>
      </c>
      <c r="I103" s="12">
        <v>0.125</v>
      </c>
      <c r="J103" s="12">
        <v>0.12</v>
      </c>
      <c r="K103" s="12">
        <v>0.115</v>
      </c>
      <c r="L103" s="12">
        <v>0.11</v>
      </c>
    </row>
    <row r="104" ht="14.25" customHeight="1">
      <c r="A104" s="1"/>
      <c r="B104" s="1"/>
      <c r="C104" s="29" t="s">
        <v>76</v>
      </c>
      <c r="D104" s="53" t="s">
        <v>18</v>
      </c>
      <c r="E104" s="37">
        <f t="shared" ref="E104:G104" si="55">+E152/E137</f>
        <v>0.1358520805</v>
      </c>
      <c r="F104" s="37">
        <f t="shared" si="55"/>
        <v>0.1807279126</v>
      </c>
      <c r="G104" s="37">
        <f t="shared" si="55"/>
        <v>0.1186907507</v>
      </c>
      <c r="H104" s="12">
        <v>0.12</v>
      </c>
      <c r="I104" s="12">
        <v>0.12</v>
      </c>
      <c r="J104" s="12">
        <v>0.11</v>
      </c>
      <c r="K104" s="12">
        <v>0.11</v>
      </c>
      <c r="L104" s="12">
        <v>0.1</v>
      </c>
    </row>
    <row r="105" ht="14.25" customHeight="1">
      <c r="A105" s="1"/>
      <c r="B105" s="1"/>
      <c r="C105" s="29"/>
      <c r="D105" s="53"/>
      <c r="E105" s="37"/>
      <c r="F105" s="37"/>
      <c r="G105" s="37"/>
      <c r="H105" s="37"/>
      <c r="I105" s="37"/>
      <c r="J105" s="37"/>
      <c r="K105" s="37"/>
      <c r="L105" s="37"/>
    </row>
    <row r="106" ht="15.75" customHeight="1">
      <c r="A106" s="1"/>
      <c r="B106" s="1"/>
      <c r="C106" s="29" t="s">
        <v>77</v>
      </c>
      <c r="D106" s="53" t="s">
        <v>18</v>
      </c>
      <c r="E106" s="37">
        <f t="shared" ref="E106:G106" si="56">+E164/E$137</f>
        <v>0.04868020134</v>
      </c>
      <c r="F106" s="37">
        <f t="shared" si="56"/>
        <v>0.03171883682</v>
      </c>
      <c r="G106" s="37">
        <f t="shared" si="56"/>
        <v>0.04419677171</v>
      </c>
      <c r="H106" s="54">
        <f>AVERAGE(E106:G106)</f>
        <v>0.04153193663</v>
      </c>
      <c r="I106" s="54">
        <f t="shared" ref="I106:L106" si="57">+H106</f>
        <v>0.04153193663</v>
      </c>
      <c r="J106" s="54">
        <f t="shared" si="57"/>
        <v>0.04153193663</v>
      </c>
      <c r="K106" s="54">
        <f t="shared" si="57"/>
        <v>0.04153193663</v>
      </c>
      <c r="L106" s="54">
        <f t="shared" si="57"/>
        <v>0.04153193663</v>
      </c>
    </row>
    <row r="107" ht="15.75" customHeight="1">
      <c r="A107" s="1"/>
      <c r="B107" s="1"/>
      <c r="C107" s="29" t="s">
        <v>78</v>
      </c>
      <c r="D107" s="53" t="s">
        <v>18</v>
      </c>
      <c r="E107" s="37">
        <f t="shared" ref="E107:G107" si="58">+E165/E$137</f>
        <v>0.1276540268</v>
      </c>
      <c r="F107" s="37">
        <f t="shared" si="58"/>
        <v>0.2447675495</v>
      </c>
      <c r="G107" s="37">
        <f t="shared" si="58"/>
        <v>0.2001985652</v>
      </c>
      <c r="H107" s="12">
        <v>0.2</v>
      </c>
      <c r="I107" s="12">
        <v>0.2</v>
      </c>
      <c r="J107" s="12">
        <v>0.19</v>
      </c>
      <c r="K107" s="12">
        <v>0.19</v>
      </c>
      <c r="L107" s="12">
        <v>0.18</v>
      </c>
    </row>
    <row r="108" ht="15.75" customHeight="1">
      <c r="A108" s="1"/>
      <c r="B108" s="1"/>
      <c r="C108" s="29" t="s">
        <v>79</v>
      </c>
      <c r="D108" s="53" t="s">
        <v>18</v>
      </c>
      <c r="E108" s="37">
        <f t="shared" ref="E108:G108" si="59">+E166/E$137</f>
        <v>0.1575858389</v>
      </c>
      <c r="F108" s="37">
        <f t="shared" si="59"/>
        <v>0.103583997</v>
      </c>
      <c r="G108" s="37">
        <f t="shared" si="59"/>
        <v>0.08394183961</v>
      </c>
      <c r="H108" s="12">
        <v>0.08</v>
      </c>
      <c r="I108" s="12">
        <v>0.08</v>
      </c>
      <c r="J108" s="12">
        <v>0.07</v>
      </c>
      <c r="K108" s="12">
        <v>0.07</v>
      </c>
      <c r="L108" s="12">
        <v>0.07</v>
      </c>
    </row>
    <row r="109" ht="15.75" customHeight="1">
      <c r="A109" s="1"/>
      <c r="B109" s="1"/>
      <c r="C109" s="29"/>
      <c r="D109" s="53"/>
      <c r="E109" s="55"/>
      <c r="F109" s="55"/>
      <c r="G109" s="55"/>
      <c r="H109" s="37"/>
      <c r="I109" s="1"/>
      <c r="J109" s="1"/>
      <c r="K109" s="1"/>
      <c r="L109" s="1"/>
    </row>
    <row r="110" ht="15.75" customHeight="1">
      <c r="A110" s="1"/>
      <c r="B110" s="22" t="s">
        <v>80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</row>
    <row r="111" ht="15.75" customHeight="1">
      <c r="A111" s="1"/>
      <c r="B111" s="1"/>
      <c r="C111" s="29" t="s">
        <v>81</v>
      </c>
      <c r="D111" s="23" t="s">
        <v>16</v>
      </c>
      <c r="E111" s="48">
        <v>0.009</v>
      </c>
      <c r="F111" s="48">
        <v>0.0119733640671021</v>
      </c>
      <c r="G111" s="48">
        <v>0.00656959666466631</v>
      </c>
      <c r="H111" s="12">
        <v>0.01</v>
      </c>
      <c r="I111" s="12">
        <v>0.012</v>
      </c>
      <c r="J111" s="12">
        <v>0.014</v>
      </c>
      <c r="K111" s="12">
        <v>0.016</v>
      </c>
      <c r="L111" s="12">
        <v>0.018</v>
      </c>
    </row>
    <row r="112" ht="15.75" customHeight="1">
      <c r="A112" s="1"/>
      <c r="B112" s="1"/>
      <c r="C112" s="29" t="s">
        <v>82</v>
      </c>
      <c r="D112" s="23" t="s">
        <v>18</v>
      </c>
      <c r="E112" s="48">
        <v>0.005</v>
      </c>
      <c r="F112" s="48">
        <v>0.005602509924446151</v>
      </c>
      <c r="G112" s="48">
        <v>0.006232694271606497</v>
      </c>
      <c r="H112" s="12">
        <v>0.008</v>
      </c>
      <c r="I112" s="12">
        <v>0.01</v>
      </c>
      <c r="J112" s="12">
        <v>0.012</v>
      </c>
      <c r="K112" s="12">
        <v>0.014</v>
      </c>
      <c r="L112" s="12">
        <v>0.016</v>
      </c>
    </row>
    <row r="113" ht="15.75" customHeight="1">
      <c r="A113" s="1"/>
      <c r="B113" s="1"/>
      <c r="C113" s="29"/>
      <c r="D113" s="23"/>
      <c r="E113" s="37"/>
      <c r="F113" s="37"/>
      <c r="G113" s="37"/>
      <c r="H113" s="37"/>
      <c r="I113" s="37"/>
      <c r="J113" s="37"/>
      <c r="K113" s="37"/>
      <c r="L113" s="37"/>
    </row>
    <row r="114" ht="15.75" customHeight="1">
      <c r="A114" s="1"/>
      <c r="B114" s="1"/>
      <c r="C114" s="29" t="s">
        <v>83</v>
      </c>
      <c r="D114" s="23" t="s">
        <v>16</v>
      </c>
      <c r="E114" s="37"/>
      <c r="F114" s="37"/>
      <c r="G114" s="37"/>
      <c r="H114" s="56">
        <v>5.0</v>
      </c>
      <c r="I114" s="56">
        <v>5.0</v>
      </c>
      <c r="J114" s="56">
        <v>10.0</v>
      </c>
      <c r="K114" s="56">
        <v>10.0</v>
      </c>
      <c r="L114" s="56">
        <v>15.0</v>
      </c>
    </row>
    <row r="115" ht="15.75" customHeight="1">
      <c r="A115" s="1"/>
      <c r="B115" s="1"/>
      <c r="C115" s="29" t="s">
        <v>84</v>
      </c>
      <c r="D115" s="23"/>
      <c r="E115" s="37"/>
      <c r="F115" s="37"/>
      <c r="G115" s="37"/>
      <c r="H115" s="12">
        <v>0.1</v>
      </c>
      <c r="I115" s="12"/>
      <c r="J115" s="12"/>
      <c r="K115" s="12"/>
      <c r="L115" s="12"/>
    </row>
    <row r="116" ht="15.75" customHeight="1">
      <c r="A116" s="1"/>
      <c r="B116" s="1"/>
      <c r="C116" s="29" t="s">
        <v>85</v>
      </c>
      <c r="D116" s="23" t="s">
        <v>18</v>
      </c>
      <c r="E116" s="57"/>
      <c r="F116" s="57"/>
      <c r="G116" s="57"/>
      <c r="H116" s="12">
        <v>0.2</v>
      </c>
      <c r="I116" s="12"/>
      <c r="J116" s="12"/>
      <c r="K116" s="12"/>
      <c r="L116" s="12"/>
      <c r="N116" s="6"/>
      <c r="O116" s="6"/>
      <c r="P116" s="6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29" t="s">
        <v>86</v>
      </c>
      <c r="D118" s="23" t="s">
        <v>16</v>
      </c>
      <c r="E118" s="1"/>
      <c r="F118" s="1"/>
      <c r="G118" s="1"/>
      <c r="H118" s="27">
        <f t="shared" ref="H118:L118" si="60">+$G$157*$H$115</f>
        <v>2.3259</v>
      </c>
      <c r="I118" s="27">
        <f t="shared" si="60"/>
        <v>2.3259</v>
      </c>
      <c r="J118" s="27">
        <f t="shared" si="60"/>
        <v>2.3259</v>
      </c>
      <c r="K118" s="27">
        <f t="shared" si="60"/>
        <v>2.3259</v>
      </c>
      <c r="L118" s="27">
        <f t="shared" si="60"/>
        <v>2.3259</v>
      </c>
    </row>
    <row r="119" ht="15.75" customHeight="1">
      <c r="A119" s="1"/>
      <c r="B119" s="1"/>
      <c r="C119" s="29" t="s">
        <v>87</v>
      </c>
      <c r="D119" s="23" t="s">
        <v>16</v>
      </c>
      <c r="E119" s="1"/>
      <c r="F119" s="1"/>
      <c r="G119" s="1"/>
      <c r="H119" s="27">
        <f>+$H114*$H$116/2</f>
        <v>0.5</v>
      </c>
      <c r="I119" s="27">
        <f t="shared" ref="I119:L119" si="61">+$H114*$H$116</f>
        <v>1</v>
      </c>
      <c r="J119" s="27">
        <f t="shared" si="61"/>
        <v>1</v>
      </c>
      <c r="K119" s="27">
        <f t="shared" si="61"/>
        <v>1</v>
      </c>
      <c r="L119" s="27">
        <f t="shared" si="61"/>
        <v>1</v>
      </c>
    </row>
    <row r="120" ht="15.75" customHeight="1">
      <c r="A120" s="1"/>
      <c r="B120" s="1"/>
      <c r="C120" s="29" t="s">
        <v>88</v>
      </c>
      <c r="D120" s="23" t="s">
        <v>16</v>
      </c>
      <c r="E120" s="1"/>
      <c r="F120" s="1"/>
      <c r="G120" s="1"/>
      <c r="H120" s="27"/>
      <c r="I120" s="27">
        <f>+$I114*$H$116/2</f>
        <v>0.5</v>
      </c>
      <c r="J120" s="27">
        <f t="shared" ref="J120:L120" si="62">+$I114*$H$116</f>
        <v>1</v>
      </c>
      <c r="K120" s="27">
        <f t="shared" si="62"/>
        <v>1</v>
      </c>
      <c r="L120" s="27">
        <f t="shared" si="62"/>
        <v>1</v>
      </c>
    </row>
    <row r="121" ht="15.75" customHeight="1">
      <c r="A121" s="1"/>
      <c r="B121" s="1"/>
      <c r="C121" s="29" t="s">
        <v>89</v>
      </c>
      <c r="D121" s="23" t="s">
        <v>16</v>
      </c>
      <c r="E121" s="1"/>
      <c r="F121" s="1"/>
      <c r="G121" s="1"/>
      <c r="H121" s="27"/>
      <c r="I121" s="27"/>
      <c r="J121" s="27">
        <f>+$J114*$H$116/2</f>
        <v>1</v>
      </c>
      <c r="K121" s="27">
        <f t="shared" ref="K121:L121" si="63">+$J114*$H$116</f>
        <v>2</v>
      </c>
      <c r="L121" s="27">
        <f t="shared" si="63"/>
        <v>2</v>
      </c>
    </row>
    <row r="122" ht="15.75" customHeight="1">
      <c r="A122" s="1"/>
      <c r="B122" s="1"/>
      <c r="C122" s="29" t="s">
        <v>90</v>
      </c>
      <c r="D122" s="23" t="s">
        <v>16</v>
      </c>
      <c r="E122" s="1"/>
      <c r="F122" s="1"/>
      <c r="G122" s="1"/>
      <c r="H122" s="27"/>
      <c r="I122" s="27"/>
      <c r="J122" s="27"/>
      <c r="K122" s="27">
        <f>+$K114*$H$116/2</f>
        <v>1</v>
      </c>
      <c r="L122" s="27">
        <f>+$K114*$H$116</f>
        <v>2</v>
      </c>
    </row>
    <row r="123" ht="15.75" customHeight="1">
      <c r="A123" s="1"/>
      <c r="B123" s="1"/>
      <c r="C123" s="29" t="s">
        <v>91</v>
      </c>
      <c r="D123" s="30" t="s">
        <v>16</v>
      </c>
      <c r="E123" s="1"/>
      <c r="F123" s="1"/>
      <c r="G123" s="1"/>
      <c r="H123" s="27"/>
      <c r="I123" s="27"/>
      <c r="J123" s="27"/>
      <c r="K123" s="27"/>
      <c r="L123" s="27">
        <f>+$L114*$H$116/2</f>
        <v>1.5</v>
      </c>
    </row>
    <row r="124" ht="15.75" customHeight="1">
      <c r="A124" s="1"/>
      <c r="B124" s="1"/>
      <c r="C124" s="32" t="s">
        <v>92</v>
      </c>
      <c r="D124" s="23" t="s">
        <v>16</v>
      </c>
      <c r="E124" s="33"/>
      <c r="F124" s="33"/>
      <c r="G124" s="33"/>
      <c r="H124" s="35">
        <f t="shared" ref="H124:L124" si="64">SUM(H118:H123)</f>
        <v>2.8259</v>
      </c>
      <c r="I124" s="35">
        <f t="shared" si="64"/>
        <v>3.8259</v>
      </c>
      <c r="J124" s="35">
        <f t="shared" si="64"/>
        <v>5.3259</v>
      </c>
      <c r="K124" s="35">
        <f t="shared" si="64"/>
        <v>7.3259</v>
      </c>
      <c r="L124" s="35">
        <f t="shared" si="64"/>
        <v>9.8259</v>
      </c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3"/>
      <c r="C126" s="13"/>
      <c r="D126" s="13"/>
      <c r="E126" s="14" t="str">
        <f>$E$48</f>
        <v>Historical</v>
      </c>
      <c r="F126" s="15"/>
      <c r="G126" s="16"/>
      <c r="H126" s="17" t="str">
        <f>$H$48</f>
        <v>Projected</v>
      </c>
      <c r="I126" s="15"/>
      <c r="J126" s="15"/>
      <c r="K126" s="15"/>
      <c r="L126" s="16"/>
    </row>
    <row r="127" ht="15.75" customHeight="1">
      <c r="A127" s="1"/>
      <c r="B127" s="18" t="s">
        <v>93</v>
      </c>
      <c r="C127" s="18"/>
      <c r="D127" s="19" t="str">
        <f>$D$49</f>
        <v>Units:</v>
      </c>
      <c r="E127" s="20">
        <f>$E$49</f>
        <v>41608</v>
      </c>
      <c r="F127" s="20">
        <f>$F$49</f>
        <v>41973</v>
      </c>
      <c r="G127" s="20">
        <f>$G$49</f>
        <v>42338</v>
      </c>
      <c r="H127" s="21">
        <f>$H$49</f>
        <v>42704</v>
      </c>
      <c r="I127" s="20">
        <f>$I$49</f>
        <v>43069</v>
      </c>
      <c r="J127" s="20">
        <f>$J$49</f>
        <v>43434</v>
      </c>
      <c r="K127" s="20">
        <f>$K$49</f>
        <v>43799</v>
      </c>
      <c r="L127" s="20">
        <f>$L$49</f>
        <v>44165</v>
      </c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2" t="s">
        <v>15</v>
      </c>
      <c r="D129" s="23" t="s">
        <v>16</v>
      </c>
      <c r="E129" s="58">
        <v>39.4</v>
      </c>
      <c r="F129" s="58">
        <v>62.472</v>
      </c>
      <c r="G129" s="58">
        <v>94.983</v>
      </c>
      <c r="H129" s="59">
        <f t="shared" ref="H129:L129" si="65">+H52*H55</f>
        <v>146.748735</v>
      </c>
      <c r="I129" s="59">
        <f t="shared" si="65"/>
        <v>211.6116759</v>
      </c>
      <c r="J129" s="59">
        <f t="shared" si="65"/>
        <v>280.5970822</v>
      </c>
      <c r="K129" s="59">
        <f t="shared" si="65"/>
        <v>357.7612798</v>
      </c>
      <c r="L129" s="59">
        <f t="shared" si="65"/>
        <v>437.8998065</v>
      </c>
    </row>
    <row r="130" ht="15.75" customHeight="1">
      <c r="A130" s="1"/>
      <c r="B130" s="1"/>
      <c r="C130" s="25" t="s">
        <v>94</v>
      </c>
      <c r="D130" s="23" t="s">
        <v>18</v>
      </c>
      <c r="E130" s="26" t="str">
        <f t="shared" ref="E130:L130" si="66">IFERROR(+E129/D129-1,"N/A")</f>
        <v>N/A</v>
      </c>
      <c r="F130" s="26">
        <f t="shared" si="66"/>
        <v>0.5855837563</v>
      </c>
      <c r="G130" s="26">
        <f t="shared" si="66"/>
        <v>0.5204091433</v>
      </c>
      <c r="H130" s="26">
        <f t="shared" si="66"/>
        <v>0.545</v>
      </c>
      <c r="I130" s="26">
        <f t="shared" si="66"/>
        <v>0.442</v>
      </c>
      <c r="J130" s="26">
        <f t="shared" si="66"/>
        <v>0.326</v>
      </c>
      <c r="K130" s="26">
        <f t="shared" si="66"/>
        <v>0.275</v>
      </c>
      <c r="L130" s="26">
        <f t="shared" si="66"/>
        <v>0.224</v>
      </c>
    </row>
    <row r="131" ht="15.75" customHeight="1">
      <c r="A131" s="1"/>
      <c r="B131" s="1"/>
      <c r="C131" s="1"/>
      <c r="D131" s="1"/>
      <c r="E131" s="43"/>
      <c r="F131" s="43"/>
      <c r="G131" s="43"/>
      <c r="H131" s="27"/>
      <c r="I131" s="27"/>
      <c r="J131" s="27"/>
      <c r="K131" s="27"/>
      <c r="L131" s="27"/>
    </row>
    <row r="132" ht="15.75" customHeight="1">
      <c r="A132" s="1"/>
      <c r="B132" s="1"/>
      <c r="C132" s="60" t="s">
        <v>95</v>
      </c>
      <c r="D132" s="23" t="s">
        <v>16</v>
      </c>
      <c r="E132" s="61">
        <v>20.2</v>
      </c>
      <c r="F132" s="61">
        <v>29.955</v>
      </c>
      <c r="G132" s="61">
        <v>45.999</v>
      </c>
      <c r="H132" s="34">
        <f t="shared" ref="H132:L132" si="67">+H129*H61</f>
        <v>70.4393928</v>
      </c>
      <c r="I132" s="34">
        <f t="shared" si="67"/>
        <v>99.45748766</v>
      </c>
      <c r="J132" s="34">
        <f t="shared" si="67"/>
        <v>129.0746578</v>
      </c>
      <c r="K132" s="34">
        <f t="shared" si="67"/>
        <v>160.9925759</v>
      </c>
      <c r="L132" s="34">
        <f t="shared" si="67"/>
        <v>192.6759149</v>
      </c>
    </row>
    <row r="133" ht="15.75" customHeight="1">
      <c r="A133" s="1"/>
      <c r="B133" s="1"/>
      <c r="C133" s="25"/>
      <c r="D133" s="1"/>
      <c r="E133" s="62"/>
      <c r="F133" s="62"/>
      <c r="G133" s="62"/>
      <c r="H133" s="27"/>
      <c r="I133" s="27"/>
      <c r="J133" s="27"/>
      <c r="K133" s="27"/>
      <c r="L133" s="27"/>
    </row>
    <row r="134" ht="15.75" customHeight="1">
      <c r="A134" s="1"/>
      <c r="B134" s="1"/>
      <c r="C134" s="2" t="s">
        <v>96</v>
      </c>
      <c r="D134" s="1"/>
      <c r="E134" s="27"/>
      <c r="F134" s="27"/>
      <c r="G134" s="27"/>
      <c r="H134" s="27"/>
      <c r="I134" s="27"/>
      <c r="J134" s="27"/>
      <c r="K134" s="27"/>
      <c r="L134" s="27"/>
    </row>
    <row r="135" ht="15.75" customHeight="1">
      <c r="A135" s="1"/>
      <c r="B135" s="1"/>
      <c r="C135" s="29" t="s">
        <v>97</v>
      </c>
      <c r="D135" s="23" t="s">
        <v>16</v>
      </c>
      <c r="E135" s="43">
        <v>10.0</v>
      </c>
      <c r="F135" s="43">
        <v>16.396</v>
      </c>
      <c r="G135" s="43">
        <v>25.624</v>
      </c>
      <c r="H135" s="27">
        <f t="shared" ref="H135:L135" si="68">+H63*(H58+H52)</f>
        <v>40.32343593</v>
      </c>
      <c r="I135" s="27">
        <f t="shared" si="68"/>
        <v>58.78557106</v>
      </c>
      <c r="J135" s="27">
        <f t="shared" si="68"/>
        <v>78.81577464</v>
      </c>
      <c r="K135" s="27">
        <f t="shared" si="68"/>
        <v>101.5994944</v>
      </c>
      <c r="L135" s="27">
        <f t="shared" si="68"/>
        <v>125.7216252</v>
      </c>
    </row>
    <row r="136" ht="15.75" customHeight="1">
      <c r="A136" s="1"/>
      <c r="B136" s="1"/>
      <c r="C136" s="63" t="s">
        <v>98</v>
      </c>
      <c r="D136" s="30" t="s">
        <v>16</v>
      </c>
      <c r="E136" s="43">
        <v>4.9</v>
      </c>
      <c r="F136" s="43">
        <v>5.2</v>
      </c>
      <c r="G136" s="43">
        <v>5.6</v>
      </c>
      <c r="H136" s="27">
        <f t="shared" ref="H136:L136" si="69">+H66</f>
        <v>5.936</v>
      </c>
      <c r="I136" s="27">
        <f t="shared" si="69"/>
        <v>6.26248</v>
      </c>
      <c r="J136" s="27">
        <f t="shared" si="69"/>
        <v>6.575604</v>
      </c>
      <c r="K136" s="27">
        <f t="shared" si="69"/>
        <v>6.87150618</v>
      </c>
      <c r="L136" s="27">
        <f t="shared" si="69"/>
        <v>7.146366427</v>
      </c>
    </row>
    <row r="137" ht="15.75" customHeight="1">
      <c r="A137" s="1"/>
      <c r="B137" s="1"/>
      <c r="C137" s="64" t="s">
        <v>99</v>
      </c>
      <c r="D137" s="23" t="s">
        <v>16</v>
      </c>
      <c r="E137" s="35">
        <f t="shared" ref="E137:L137" si="70">SUM(E135:E136)</f>
        <v>14.9</v>
      </c>
      <c r="F137" s="35">
        <f t="shared" si="70"/>
        <v>21.596</v>
      </c>
      <c r="G137" s="35">
        <f t="shared" si="70"/>
        <v>31.224</v>
      </c>
      <c r="H137" s="65">
        <f t="shared" si="70"/>
        <v>46.25943593</v>
      </c>
      <c r="I137" s="65">
        <f t="shared" si="70"/>
        <v>65.04805106</v>
      </c>
      <c r="J137" s="65">
        <f t="shared" si="70"/>
        <v>85.39137864</v>
      </c>
      <c r="K137" s="65">
        <f t="shared" si="70"/>
        <v>108.4710006</v>
      </c>
      <c r="L137" s="65">
        <f t="shared" si="70"/>
        <v>132.8679916</v>
      </c>
    </row>
    <row r="138" ht="15.75" customHeight="1">
      <c r="A138" s="1"/>
      <c r="B138" s="1"/>
      <c r="C138" s="63"/>
      <c r="D138" s="1"/>
      <c r="E138" s="43"/>
      <c r="F138" s="43"/>
      <c r="G138" s="43"/>
      <c r="H138" s="27"/>
      <c r="I138" s="27"/>
      <c r="J138" s="27"/>
      <c r="K138" s="27"/>
      <c r="L138" s="27"/>
    </row>
    <row r="139" ht="15.75" customHeight="1">
      <c r="A139" s="1"/>
      <c r="B139" s="1"/>
      <c r="C139" s="66" t="s">
        <v>19</v>
      </c>
      <c r="D139" s="23" t="s">
        <v>16</v>
      </c>
      <c r="E139" s="34">
        <f t="shared" ref="E139:L139" si="71">+E132-E137</f>
        <v>5.3</v>
      </c>
      <c r="F139" s="34">
        <f t="shared" si="71"/>
        <v>8.359</v>
      </c>
      <c r="G139" s="34">
        <f t="shared" si="71"/>
        <v>14.775</v>
      </c>
      <c r="H139" s="34">
        <f t="shared" si="71"/>
        <v>24.17995687</v>
      </c>
      <c r="I139" s="34">
        <f t="shared" si="71"/>
        <v>34.4094366</v>
      </c>
      <c r="J139" s="34">
        <f t="shared" si="71"/>
        <v>43.68327917</v>
      </c>
      <c r="K139" s="34">
        <f t="shared" si="71"/>
        <v>52.52157536</v>
      </c>
      <c r="L139" s="34">
        <f t="shared" si="71"/>
        <v>59.80792326</v>
      </c>
    </row>
    <row r="140" ht="15.75" customHeight="1">
      <c r="A140" s="1"/>
      <c r="B140" s="1"/>
      <c r="C140" s="63" t="s">
        <v>100</v>
      </c>
      <c r="D140" s="23" t="s">
        <v>16</v>
      </c>
      <c r="E140" s="43">
        <v>-0.710208</v>
      </c>
      <c r="F140" s="43">
        <v>-1.982</v>
      </c>
      <c r="G140" s="43">
        <v>-1.933</v>
      </c>
      <c r="H140" s="27">
        <f t="shared" ref="H140:L140" si="72">-H112*H129-H124</f>
        <v>-3.99988988</v>
      </c>
      <c r="I140" s="27">
        <f t="shared" si="72"/>
        <v>-5.942016759</v>
      </c>
      <c r="J140" s="27">
        <f t="shared" si="72"/>
        <v>-8.693064986</v>
      </c>
      <c r="K140" s="27">
        <f t="shared" si="72"/>
        <v>-12.33455792</v>
      </c>
      <c r="L140" s="27">
        <f t="shared" si="72"/>
        <v>-16.8322969</v>
      </c>
    </row>
    <row r="141" ht="15.75" customHeight="1">
      <c r="A141" s="1"/>
      <c r="B141" s="1"/>
      <c r="C141" s="63" t="s">
        <v>101</v>
      </c>
      <c r="D141" s="23" t="s">
        <v>16</v>
      </c>
      <c r="E141" s="43">
        <v>-1.180592</v>
      </c>
      <c r="F141" s="43">
        <v>-3.101</v>
      </c>
      <c r="G141" s="43">
        <v>-3.36</v>
      </c>
      <c r="H141" s="27">
        <f t="shared" ref="H141:L141" si="73">-H97-H93-H87</f>
        <v>-2.1467205</v>
      </c>
      <c r="I141" s="27">
        <f t="shared" si="73"/>
        <v>-2.21675277</v>
      </c>
      <c r="J141" s="27">
        <f t="shared" si="73"/>
        <v>-2.22387904</v>
      </c>
      <c r="K141" s="27">
        <f t="shared" si="73"/>
        <v>-2.29829977</v>
      </c>
      <c r="L141" s="27">
        <f t="shared" si="73"/>
        <v>-2.3448175</v>
      </c>
    </row>
    <row r="142" ht="14.25" customHeight="1">
      <c r="A142" s="1"/>
      <c r="B142" s="1"/>
      <c r="C142" s="63" t="s">
        <v>102</v>
      </c>
      <c r="D142" s="23" t="s">
        <v>16</v>
      </c>
      <c r="E142" s="43">
        <v>3.59E-4</v>
      </c>
      <c r="F142" s="43">
        <v>0.001</v>
      </c>
      <c r="G142" s="43" t="s">
        <v>103</v>
      </c>
      <c r="H142" s="27">
        <f t="shared" ref="H142:L142" si="74">+H100</f>
        <v>0.182235</v>
      </c>
      <c r="I142" s="27">
        <f t="shared" si="74"/>
        <v>0.33968883</v>
      </c>
      <c r="J142" s="27">
        <f t="shared" si="74"/>
        <v>0.6097279987</v>
      </c>
      <c r="K142" s="27">
        <f t="shared" si="74"/>
        <v>1.012278312</v>
      </c>
      <c r="L142" s="27">
        <f t="shared" si="74"/>
        <v>1.559889749</v>
      </c>
    </row>
    <row r="143" ht="15.75" customHeight="1">
      <c r="A143" s="1"/>
      <c r="B143" s="1"/>
      <c r="C143" s="67" t="s">
        <v>104</v>
      </c>
      <c r="D143" s="30" t="s">
        <v>16</v>
      </c>
      <c r="E143" s="43">
        <v>-0.605386</v>
      </c>
      <c r="F143" s="43">
        <v>-1.164</v>
      </c>
      <c r="G143" s="43">
        <v>-2.822</v>
      </c>
      <c r="H143" s="27">
        <f t="shared" ref="H143:L143" si="75">-SUM(H139:H142)*H69</f>
        <v>-3.643116297</v>
      </c>
      <c r="I143" s="27">
        <f t="shared" si="75"/>
        <v>-5.052167621</v>
      </c>
      <c r="J143" s="27">
        <f t="shared" si="75"/>
        <v>-6.341451997</v>
      </c>
      <c r="K143" s="27">
        <f t="shared" si="75"/>
        <v>-7.391189238</v>
      </c>
      <c r="L143" s="27">
        <f t="shared" si="75"/>
        <v>-7.594325748</v>
      </c>
    </row>
    <row r="144" ht="15.75" customHeight="1">
      <c r="A144" s="1"/>
      <c r="B144" s="1"/>
      <c r="C144" s="60" t="s">
        <v>105</v>
      </c>
      <c r="D144" s="23" t="s">
        <v>16</v>
      </c>
      <c r="E144" s="68">
        <f t="shared" ref="E144:L144" si="76">SUM(E139:E143)</f>
        <v>2.804173</v>
      </c>
      <c r="F144" s="68">
        <f t="shared" si="76"/>
        <v>2.113</v>
      </c>
      <c r="G144" s="68">
        <f t="shared" si="76"/>
        <v>6.66</v>
      </c>
      <c r="H144" s="68">
        <f t="shared" si="76"/>
        <v>14.57246519</v>
      </c>
      <c r="I144" s="68">
        <f t="shared" si="76"/>
        <v>21.53818828</v>
      </c>
      <c r="J144" s="68">
        <f t="shared" si="76"/>
        <v>27.03461115</v>
      </c>
      <c r="K144" s="68">
        <f t="shared" si="76"/>
        <v>31.50980675</v>
      </c>
      <c r="L144" s="68">
        <f t="shared" si="76"/>
        <v>34.59637285</v>
      </c>
    </row>
    <row r="145" ht="15.75" customHeight="1">
      <c r="A145" s="1"/>
      <c r="B145" s="1"/>
      <c r="C145" s="29"/>
      <c r="D145" s="1"/>
      <c r="E145" s="41"/>
      <c r="F145" s="41"/>
      <c r="G145" s="41"/>
      <c r="H145" s="57"/>
      <c r="I145" s="57"/>
      <c r="J145" s="57"/>
      <c r="K145" s="57"/>
      <c r="L145" s="57"/>
    </row>
    <row r="146" ht="15.75" customHeight="1">
      <c r="A146" s="1"/>
      <c r="B146" s="13"/>
      <c r="C146" s="13"/>
      <c r="D146" s="13"/>
      <c r="E146" s="14" t="str">
        <f>$E$48</f>
        <v>Historical</v>
      </c>
      <c r="F146" s="15"/>
      <c r="G146" s="16"/>
      <c r="H146" s="17" t="str">
        <f>$H$48</f>
        <v>Projected</v>
      </c>
      <c r="I146" s="15"/>
      <c r="J146" s="15"/>
      <c r="K146" s="15"/>
      <c r="L146" s="16"/>
    </row>
    <row r="147" ht="15.75" customHeight="1">
      <c r="A147" s="1"/>
      <c r="B147" s="18" t="s">
        <v>106</v>
      </c>
      <c r="C147" s="18"/>
      <c r="D147" s="19" t="str">
        <f>$D$49</f>
        <v>Units:</v>
      </c>
      <c r="E147" s="20">
        <f>$E$49</f>
        <v>41608</v>
      </c>
      <c r="F147" s="20">
        <f>$F$49</f>
        <v>41973</v>
      </c>
      <c r="G147" s="20">
        <f>$G$49</f>
        <v>42338</v>
      </c>
      <c r="H147" s="21">
        <f>$H$49</f>
        <v>42704</v>
      </c>
      <c r="I147" s="20">
        <f>$I$49</f>
        <v>43069</v>
      </c>
      <c r="J147" s="20">
        <f>$J$49</f>
        <v>43434</v>
      </c>
      <c r="K147" s="20">
        <f>$K$49</f>
        <v>43799</v>
      </c>
      <c r="L147" s="20">
        <f>$L$49</f>
        <v>44165</v>
      </c>
    </row>
    <row r="148" ht="15.75" customHeight="1">
      <c r="A148" s="1"/>
      <c r="B148" s="69" t="s">
        <v>107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</row>
    <row r="149" ht="15.75" customHeight="1">
      <c r="A149" s="1"/>
      <c r="B149" s="1"/>
      <c r="C149" s="2" t="s">
        <v>108</v>
      </c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29" t="s">
        <v>109</v>
      </c>
      <c r="D150" s="23" t="s">
        <v>16</v>
      </c>
      <c r="E150" s="70">
        <v>2.823612</v>
      </c>
      <c r="F150" s="70">
        <v>2.405</v>
      </c>
      <c r="G150" s="70">
        <v>12.149</v>
      </c>
      <c r="H150" s="24">
        <f t="shared" ref="H150:L150" si="77">+H210</f>
        <v>19.98169588</v>
      </c>
      <c r="I150" s="24">
        <f t="shared" si="77"/>
        <v>35.86635287</v>
      </c>
      <c r="J150" s="24">
        <f t="shared" si="77"/>
        <v>53.27780589</v>
      </c>
      <c r="K150" s="24">
        <f t="shared" si="77"/>
        <v>77.99448744</v>
      </c>
      <c r="L150" s="24">
        <f t="shared" si="77"/>
        <v>103.9007921</v>
      </c>
    </row>
    <row r="151" ht="15.75" customHeight="1">
      <c r="A151" s="1"/>
      <c r="B151" s="1"/>
      <c r="C151" s="29" t="s">
        <v>110</v>
      </c>
      <c r="D151" s="23" t="s">
        <v>16</v>
      </c>
      <c r="E151" s="43">
        <v>5.271486</v>
      </c>
      <c r="F151" s="43">
        <v>12.205</v>
      </c>
      <c r="G151" s="43">
        <v>12.547</v>
      </c>
      <c r="H151" s="27">
        <f t="shared" ref="H151:L151" si="78">+H129*H103</f>
        <v>19.07733555</v>
      </c>
      <c r="I151" s="27">
        <f t="shared" si="78"/>
        <v>26.45145948</v>
      </c>
      <c r="J151" s="27">
        <f t="shared" si="78"/>
        <v>33.67164986</v>
      </c>
      <c r="K151" s="27">
        <f t="shared" si="78"/>
        <v>41.14254718</v>
      </c>
      <c r="L151" s="27">
        <f t="shared" si="78"/>
        <v>48.16897871</v>
      </c>
    </row>
    <row r="152" ht="15.75" customHeight="1">
      <c r="A152" s="1"/>
      <c r="B152" s="1"/>
      <c r="C152" s="67" t="s">
        <v>111</v>
      </c>
      <c r="D152" s="30" t="s">
        <v>16</v>
      </c>
      <c r="E152" s="71">
        <v>2.024196</v>
      </c>
      <c r="F152" s="71">
        <v>3.903</v>
      </c>
      <c r="G152" s="71">
        <v>3.706</v>
      </c>
      <c r="H152" s="49">
        <f t="shared" ref="H152:L152" si="79">+H$137*H104</f>
        <v>5.551132312</v>
      </c>
      <c r="I152" s="49">
        <f t="shared" si="79"/>
        <v>7.805766127</v>
      </c>
      <c r="J152" s="49">
        <f t="shared" si="79"/>
        <v>9.393051651</v>
      </c>
      <c r="K152" s="49">
        <f t="shared" si="79"/>
        <v>11.93181006</v>
      </c>
      <c r="L152" s="49">
        <f t="shared" si="79"/>
        <v>13.28679916</v>
      </c>
    </row>
    <row r="153" ht="15.75" customHeight="1">
      <c r="A153" s="1"/>
      <c r="B153" s="1"/>
      <c r="C153" s="60" t="s">
        <v>112</v>
      </c>
      <c r="D153" s="23" t="s">
        <v>16</v>
      </c>
      <c r="E153" s="34">
        <f t="shared" ref="E153:L153" si="80">SUM(E150:E152)</f>
        <v>10.119294</v>
      </c>
      <c r="F153" s="34">
        <f t="shared" si="80"/>
        <v>18.513</v>
      </c>
      <c r="G153" s="34">
        <f t="shared" si="80"/>
        <v>28.402</v>
      </c>
      <c r="H153" s="34">
        <f t="shared" si="80"/>
        <v>44.61016374</v>
      </c>
      <c r="I153" s="34">
        <f t="shared" si="80"/>
        <v>70.12357848</v>
      </c>
      <c r="J153" s="34">
        <f t="shared" si="80"/>
        <v>96.3425074</v>
      </c>
      <c r="K153" s="34">
        <f t="shared" si="80"/>
        <v>131.0688447</v>
      </c>
      <c r="L153" s="34">
        <f t="shared" si="80"/>
        <v>165.35657</v>
      </c>
    </row>
    <row r="154" ht="15.75" customHeight="1">
      <c r="A154" s="1"/>
      <c r="B154" s="1"/>
      <c r="C154" s="1"/>
      <c r="D154" s="1"/>
      <c r="E154" s="27"/>
      <c r="F154" s="27"/>
      <c r="G154" s="27"/>
      <c r="H154" s="27"/>
      <c r="I154" s="27"/>
      <c r="J154" s="27"/>
      <c r="K154" s="27"/>
      <c r="L154" s="27"/>
    </row>
    <row r="155" ht="15.75" customHeight="1">
      <c r="A155" s="1"/>
      <c r="B155" s="1"/>
      <c r="C155" s="60" t="s">
        <v>113</v>
      </c>
      <c r="D155" s="1"/>
      <c r="E155" s="27"/>
      <c r="F155" s="27"/>
      <c r="G155" s="27"/>
      <c r="H155" s="27"/>
      <c r="I155" s="27"/>
      <c r="J155" s="27"/>
      <c r="K155" s="27"/>
      <c r="L155" s="27"/>
    </row>
    <row r="156" ht="15.75" customHeight="1">
      <c r="A156" s="1"/>
      <c r="B156" s="1"/>
      <c r="C156" s="29" t="s">
        <v>114</v>
      </c>
      <c r="D156" s="23" t="s">
        <v>16</v>
      </c>
      <c r="E156" s="43">
        <v>0.466522</v>
      </c>
      <c r="F156" s="43">
        <v>0.863</v>
      </c>
      <c r="G156" s="43">
        <v>0.861</v>
      </c>
      <c r="H156" s="27">
        <f t="shared" ref="H156:L156" si="81">+G156-H188-H200</f>
        <v>1.15449747</v>
      </c>
      <c r="I156" s="27">
        <f t="shared" si="81"/>
        <v>1.577720822</v>
      </c>
      <c r="J156" s="27">
        <f t="shared" si="81"/>
        <v>2.138914986</v>
      </c>
      <c r="K156" s="27">
        <f t="shared" si="81"/>
        <v>2.854437546</v>
      </c>
      <c r="L156" s="27">
        <f t="shared" si="81"/>
        <v>3.730237159</v>
      </c>
    </row>
    <row r="157" ht="15.75" customHeight="1">
      <c r="A157" s="1"/>
      <c r="B157" s="1"/>
      <c r="C157" s="29" t="s">
        <v>115</v>
      </c>
      <c r="D157" s="30" t="s">
        <v>16</v>
      </c>
      <c r="E157" s="43">
        <v>26.198047</v>
      </c>
      <c r="F157" s="43">
        <v>24.566</v>
      </c>
      <c r="G157" s="43">
        <v>23.259</v>
      </c>
      <c r="H157" s="27">
        <f t="shared" ref="H157:L157" si="82">+G157-H189-H201</f>
        <v>25.4331</v>
      </c>
      <c r="I157" s="27">
        <f t="shared" si="82"/>
        <v>26.6072</v>
      </c>
      <c r="J157" s="27">
        <f t="shared" si="82"/>
        <v>31.2813</v>
      </c>
      <c r="K157" s="27">
        <f t="shared" si="82"/>
        <v>33.9554</v>
      </c>
      <c r="L157" s="27">
        <f t="shared" si="82"/>
        <v>39.1295</v>
      </c>
    </row>
    <row r="158" ht="15.75" customHeight="1">
      <c r="A158" s="1"/>
      <c r="B158" s="1"/>
      <c r="C158" s="50" t="s">
        <v>116</v>
      </c>
      <c r="D158" s="23" t="s">
        <v>16</v>
      </c>
      <c r="E158" s="35">
        <f t="shared" ref="E158:L158" si="83">SUM(E156:E157)</f>
        <v>26.664569</v>
      </c>
      <c r="F158" s="35">
        <f t="shared" si="83"/>
        <v>25.429</v>
      </c>
      <c r="G158" s="35">
        <f t="shared" si="83"/>
        <v>24.12</v>
      </c>
      <c r="H158" s="35">
        <f t="shared" si="83"/>
        <v>26.58759747</v>
      </c>
      <c r="I158" s="35">
        <f t="shared" si="83"/>
        <v>28.18492082</v>
      </c>
      <c r="J158" s="35">
        <f t="shared" si="83"/>
        <v>33.42021499</v>
      </c>
      <c r="K158" s="35">
        <f t="shared" si="83"/>
        <v>36.80983755</v>
      </c>
      <c r="L158" s="35">
        <f t="shared" si="83"/>
        <v>42.85973716</v>
      </c>
    </row>
    <row r="159" ht="15.75" customHeight="1">
      <c r="A159" s="1"/>
      <c r="B159" s="1"/>
      <c r="C159" s="60"/>
      <c r="D159" s="1"/>
      <c r="E159" s="27"/>
      <c r="F159" s="34"/>
      <c r="G159" s="34"/>
      <c r="H159" s="27"/>
      <c r="I159" s="27"/>
      <c r="J159" s="27"/>
      <c r="K159" s="27"/>
      <c r="L159" s="27"/>
    </row>
    <row r="160" ht="15.75" customHeight="1">
      <c r="A160" s="1"/>
      <c r="B160" s="1"/>
      <c r="C160" s="60" t="s">
        <v>117</v>
      </c>
      <c r="D160" s="23" t="s">
        <v>16</v>
      </c>
      <c r="E160" s="59">
        <f t="shared" ref="E160:L160" si="84">+E153+E158</f>
        <v>36.783863</v>
      </c>
      <c r="F160" s="59">
        <f t="shared" si="84"/>
        <v>43.942</v>
      </c>
      <c r="G160" s="59">
        <f t="shared" si="84"/>
        <v>52.522</v>
      </c>
      <c r="H160" s="59">
        <f t="shared" si="84"/>
        <v>71.19776121</v>
      </c>
      <c r="I160" s="59">
        <f t="shared" si="84"/>
        <v>98.3084993</v>
      </c>
      <c r="J160" s="59">
        <f t="shared" si="84"/>
        <v>129.7627224</v>
      </c>
      <c r="K160" s="59">
        <f t="shared" si="84"/>
        <v>167.8786822</v>
      </c>
      <c r="L160" s="59">
        <f t="shared" si="84"/>
        <v>208.2163071</v>
      </c>
    </row>
    <row r="161" ht="15.75" customHeight="1">
      <c r="A161" s="1"/>
      <c r="B161" s="1"/>
      <c r="C161" s="60"/>
      <c r="D161" s="1"/>
      <c r="E161" s="27"/>
      <c r="F161" s="34"/>
      <c r="G161" s="34"/>
      <c r="H161" s="27"/>
      <c r="I161" s="27"/>
      <c r="J161" s="27"/>
      <c r="K161" s="27"/>
      <c r="L161" s="27"/>
    </row>
    <row r="162" ht="15.75" customHeight="1">
      <c r="A162" s="1"/>
      <c r="B162" s="22" t="s">
        <v>118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</row>
    <row r="163" ht="15.75" customHeight="1">
      <c r="A163" s="1"/>
      <c r="B163" s="1"/>
      <c r="C163" s="2" t="s">
        <v>119</v>
      </c>
      <c r="D163" s="2"/>
      <c r="E163" s="2"/>
      <c r="F163" s="27"/>
      <c r="G163" s="27"/>
      <c r="H163" s="27"/>
      <c r="I163" s="27"/>
      <c r="J163" s="27"/>
      <c r="K163" s="27"/>
      <c r="L163" s="27"/>
      <c r="M163" s="6"/>
      <c r="N163" s="6"/>
      <c r="O163" s="6"/>
      <c r="P163" s="6"/>
      <c r="Q163" s="6"/>
    </row>
    <row r="164" ht="15.75" customHeight="1">
      <c r="A164" s="1"/>
      <c r="B164" s="1"/>
      <c r="C164" s="29" t="s">
        <v>120</v>
      </c>
      <c r="D164" s="23" t="s">
        <v>16</v>
      </c>
      <c r="E164" s="70">
        <v>0.725335</v>
      </c>
      <c r="F164" s="70">
        <v>0.685</v>
      </c>
      <c r="G164" s="70">
        <v>1.38</v>
      </c>
      <c r="H164" s="24">
        <f t="shared" ref="H164:L164" si="85">+H$137*H106</f>
        <v>1.921243962</v>
      </c>
      <c r="I164" s="24">
        <f t="shared" si="85"/>
        <v>2.701571534</v>
      </c>
      <c r="J164" s="24">
        <f t="shared" si="85"/>
        <v>3.546469326</v>
      </c>
      <c r="K164" s="24">
        <f t="shared" si="85"/>
        <v>4.505010721</v>
      </c>
      <c r="L164" s="24">
        <f t="shared" si="85"/>
        <v>5.518265007</v>
      </c>
    </row>
    <row r="165" ht="15.75" customHeight="1">
      <c r="A165" s="1"/>
      <c r="B165" s="1"/>
      <c r="C165" s="29" t="s">
        <v>121</v>
      </c>
      <c r="D165" s="23" t="s">
        <v>16</v>
      </c>
      <c r="E165" s="43">
        <v>1.902045</v>
      </c>
      <c r="F165" s="43">
        <v>5.286</v>
      </c>
      <c r="G165" s="43">
        <v>6.251</v>
      </c>
      <c r="H165" s="27">
        <f t="shared" ref="H165:L165" si="86">+H$137*H107</f>
        <v>9.251887187</v>
      </c>
      <c r="I165" s="27">
        <f t="shared" si="86"/>
        <v>13.00961021</v>
      </c>
      <c r="J165" s="27">
        <f t="shared" si="86"/>
        <v>16.22436194</v>
      </c>
      <c r="K165" s="27">
        <f t="shared" si="86"/>
        <v>20.6094901</v>
      </c>
      <c r="L165" s="27">
        <f t="shared" si="86"/>
        <v>23.91623849</v>
      </c>
      <c r="M165" s="72"/>
    </row>
    <row r="166" ht="15.75" customHeight="1">
      <c r="A166" s="1"/>
      <c r="B166" s="1"/>
      <c r="C166" s="29" t="s">
        <v>122</v>
      </c>
      <c r="D166" s="30" t="s">
        <v>16</v>
      </c>
      <c r="E166" s="43">
        <v>2.348029</v>
      </c>
      <c r="F166" s="43">
        <v>2.237</v>
      </c>
      <c r="G166" s="43">
        <v>2.621</v>
      </c>
      <c r="H166" s="27">
        <f t="shared" ref="H166:L166" si="87">+H$137*H108</f>
        <v>3.700754875</v>
      </c>
      <c r="I166" s="27">
        <f t="shared" si="87"/>
        <v>5.203844085</v>
      </c>
      <c r="J166" s="27">
        <f t="shared" si="87"/>
        <v>5.977396505</v>
      </c>
      <c r="K166" s="27">
        <f t="shared" si="87"/>
        <v>7.592970039</v>
      </c>
      <c r="L166" s="27">
        <f t="shared" si="87"/>
        <v>9.300759412</v>
      </c>
      <c r="M166" s="72"/>
    </row>
    <row r="167" ht="15.75" customHeight="1">
      <c r="A167" s="1"/>
      <c r="B167" s="1"/>
      <c r="C167" s="50" t="s">
        <v>123</v>
      </c>
      <c r="D167" s="23" t="s">
        <v>16</v>
      </c>
      <c r="E167" s="35">
        <f t="shared" ref="E167:L167" si="88">SUM(E164:E166)</f>
        <v>4.975409</v>
      </c>
      <c r="F167" s="35">
        <f t="shared" si="88"/>
        <v>8.208</v>
      </c>
      <c r="G167" s="35">
        <f t="shared" si="88"/>
        <v>10.252</v>
      </c>
      <c r="H167" s="35">
        <f t="shared" si="88"/>
        <v>14.87388602</v>
      </c>
      <c r="I167" s="35">
        <f t="shared" si="88"/>
        <v>20.91502583</v>
      </c>
      <c r="J167" s="35">
        <f t="shared" si="88"/>
        <v>25.74822777</v>
      </c>
      <c r="K167" s="35">
        <f t="shared" si="88"/>
        <v>32.70747086</v>
      </c>
      <c r="L167" s="35">
        <f t="shared" si="88"/>
        <v>38.73526291</v>
      </c>
      <c r="M167" s="72"/>
    </row>
    <row r="168" ht="15.75" customHeight="1">
      <c r="A168" s="1"/>
      <c r="B168" s="1"/>
      <c r="C168" s="1"/>
      <c r="D168" s="1"/>
      <c r="E168" s="27"/>
      <c r="F168" s="27"/>
      <c r="G168" s="27"/>
      <c r="H168" s="27"/>
      <c r="I168" s="27"/>
      <c r="J168" s="27"/>
      <c r="K168" s="27"/>
      <c r="L168" s="27"/>
      <c r="M168" s="72"/>
    </row>
    <row r="169" ht="15.75" customHeight="1">
      <c r="A169" s="1"/>
      <c r="B169" s="1"/>
      <c r="C169" s="60" t="s">
        <v>124</v>
      </c>
      <c r="D169" s="1"/>
      <c r="E169" s="27"/>
      <c r="F169" s="27"/>
      <c r="G169" s="27"/>
      <c r="H169" s="27"/>
      <c r="I169" s="27"/>
      <c r="J169" s="27"/>
      <c r="K169" s="27"/>
      <c r="L169" s="27"/>
      <c r="M169" s="72"/>
    </row>
    <row r="170" ht="15.75" customHeight="1">
      <c r="A170" s="1"/>
      <c r="B170" s="1"/>
      <c r="C170" s="29" t="s">
        <v>125</v>
      </c>
      <c r="D170" s="23" t="s">
        <v>16</v>
      </c>
      <c r="E170" s="43">
        <v>32.826583</v>
      </c>
      <c r="F170" s="43">
        <v>34.557</v>
      </c>
      <c r="G170" s="43">
        <v>33.953</v>
      </c>
      <c r="H170" s="27">
        <f t="shared" ref="H170:L170" si="89">+G170+H205</f>
        <v>32.93441</v>
      </c>
      <c r="I170" s="27">
        <f t="shared" si="89"/>
        <v>31.91582</v>
      </c>
      <c r="J170" s="27">
        <f t="shared" si="89"/>
        <v>30.89723</v>
      </c>
      <c r="K170" s="27">
        <f t="shared" si="89"/>
        <v>29.87864</v>
      </c>
      <c r="L170" s="27">
        <f t="shared" si="89"/>
        <v>28.86005</v>
      </c>
      <c r="M170" s="72"/>
    </row>
    <row r="171" ht="15.75" customHeight="1">
      <c r="A171" s="1"/>
      <c r="B171" s="1"/>
      <c r="C171" s="67" t="s">
        <v>126</v>
      </c>
      <c r="D171" s="30" t="s">
        <v>16</v>
      </c>
      <c r="E171" s="71">
        <v>0.055376</v>
      </c>
      <c r="F171" s="71">
        <v>0.043</v>
      </c>
      <c r="G171" s="71">
        <v>0.037</v>
      </c>
      <c r="H171" s="27">
        <f t="shared" ref="H171:L171" si="90">+G171</f>
        <v>0.037</v>
      </c>
      <c r="I171" s="27">
        <f t="shared" si="90"/>
        <v>0.037</v>
      </c>
      <c r="J171" s="27">
        <f t="shared" si="90"/>
        <v>0.037</v>
      </c>
      <c r="K171" s="27">
        <f t="shared" si="90"/>
        <v>0.037</v>
      </c>
      <c r="L171" s="27">
        <f t="shared" si="90"/>
        <v>0.037</v>
      </c>
      <c r="M171" s="72"/>
    </row>
    <row r="172" ht="15.75" customHeight="1">
      <c r="A172" s="1"/>
      <c r="B172" s="1"/>
      <c r="C172" s="60" t="s">
        <v>127</v>
      </c>
      <c r="D172" s="23" t="s">
        <v>16</v>
      </c>
      <c r="E172" s="34">
        <f t="shared" ref="E172:L172" si="91">SUM(E170:E171)</f>
        <v>32.881959</v>
      </c>
      <c r="F172" s="34">
        <f t="shared" si="91"/>
        <v>34.6</v>
      </c>
      <c r="G172" s="34">
        <f t="shared" si="91"/>
        <v>33.99</v>
      </c>
      <c r="H172" s="35">
        <f t="shared" si="91"/>
        <v>32.97141</v>
      </c>
      <c r="I172" s="35">
        <f t="shared" si="91"/>
        <v>31.95282</v>
      </c>
      <c r="J172" s="35">
        <f t="shared" si="91"/>
        <v>30.93423</v>
      </c>
      <c r="K172" s="35">
        <f t="shared" si="91"/>
        <v>29.91564</v>
      </c>
      <c r="L172" s="35">
        <f t="shared" si="91"/>
        <v>28.89705</v>
      </c>
      <c r="M172" s="72"/>
    </row>
    <row r="173" ht="15.75" customHeight="1">
      <c r="A173" s="1"/>
      <c r="B173" s="1"/>
      <c r="C173" s="60"/>
      <c r="D173" s="1"/>
      <c r="E173" s="27"/>
      <c r="F173" s="34"/>
      <c r="G173" s="34"/>
      <c r="H173" s="27"/>
      <c r="I173" s="27"/>
      <c r="J173" s="27"/>
      <c r="K173" s="27"/>
      <c r="L173" s="27"/>
      <c r="M173" s="72"/>
    </row>
    <row r="174" ht="15.75" customHeight="1">
      <c r="A174" s="1"/>
      <c r="B174" s="1"/>
      <c r="C174" s="60" t="s">
        <v>128</v>
      </c>
      <c r="D174" s="23" t="s">
        <v>16</v>
      </c>
      <c r="E174" s="59">
        <f t="shared" ref="E174:L174" si="92">+E167+E172</f>
        <v>37.857368</v>
      </c>
      <c r="F174" s="59">
        <f t="shared" si="92"/>
        <v>42.808</v>
      </c>
      <c r="G174" s="59">
        <f t="shared" si="92"/>
        <v>44.242</v>
      </c>
      <c r="H174" s="59">
        <f t="shared" si="92"/>
        <v>47.84529602</v>
      </c>
      <c r="I174" s="59">
        <f t="shared" si="92"/>
        <v>52.86784583</v>
      </c>
      <c r="J174" s="59">
        <f t="shared" si="92"/>
        <v>56.68245777</v>
      </c>
      <c r="K174" s="59">
        <f t="shared" si="92"/>
        <v>62.62311086</v>
      </c>
      <c r="L174" s="59">
        <f t="shared" si="92"/>
        <v>67.63231291</v>
      </c>
      <c r="M174" s="72"/>
    </row>
    <row r="175" ht="15.75" customHeight="1">
      <c r="A175" s="1"/>
      <c r="B175" s="1"/>
      <c r="C175" s="1"/>
      <c r="D175" s="1"/>
      <c r="E175" s="27"/>
      <c r="F175" s="27"/>
      <c r="G175" s="27"/>
      <c r="H175" s="27"/>
      <c r="I175" s="27"/>
      <c r="J175" s="27"/>
      <c r="K175" s="27"/>
      <c r="L175" s="27"/>
      <c r="M175" s="72"/>
    </row>
    <row r="176" ht="15.75" customHeight="1">
      <c r="A176" s="1"/>
      <c r="B176" s="1"/>
      <c r="C176" s="60" t="s">
        <v>129</v>
      </c>
      <c r="D176" s="23" t="s">
        <v>16</v>
      </c>
      <c r="E176" s="58">
        <v>-1.073505</v>
      </c>
      <c r="F176" s="58">
        <v>1.134</v>
      </c>
      <c r="G176" s="58">
        <v>8.28</v>
      </c>
      <c r="H176" s="59">
        <f t="shared" ref="H176:L176" si="93">+G176+H186+H190</f>
        <v>23.35246519</v>
      </c>
      <c r="I176" s="59">
        <f t="shared" si="93"/>
        <v>45.44065347</v>
      </c>
      <c r="J176" s="59">
        <f t="shared" si="93"/>
        <v>73.08026461</v>
      </c>
      <c r="K176" s="59">
        <f t="shared" si="93"/>
        <v>105.2555714</v>
      </c>
      <c r="L176" s="59">
        <f t="shared" si="93"/>
        <v>140.5839942</v>
      </c>
      <c r="M176" s="72"/>
    </row>
    <row r="177" ht="15.75" customHeight="1">
      <c r="A177" s="1"/>
      <c r="B177" s="1"/>
      <c r="C177" s="60"/>
      <c r="D177" s="1"/>
      <c r="E177" s="27"/>
      <c r="F177" s="34"/>
      <c r="G177" s="34"/>
      <c r="H177" s="34"/>
      <c r="I177" s="34"/>
      <c r="J177" s="34"/>
      <c r="K177" s="34"/>
      <c r="L177" s="34"/>
    </row>
    <row r="178" ht="15.75" customHeight="1">
      <c r="A178" s="1"/>
      <c r="B178" s="1"/>
      <c r="C178" s="60" t="s">
        <v>130</v>
      </c>
      <c r="D178" s="23" t="s">
        <v>16</v>
      </c>
      <c r="E178" s="59">
        <f t="shared" ref="E178:L178" si="94">+E174+E176</f>
        <v>36.783863</v>
      </c>
      <c r="F178" s="59">
        <f t="shared" si="94"/>
        <v>43.942</v>
      </c>
      <c r="G178" s="59">
        <f t="shared" si="94"/>
        <v>52.522</v>
      </c>
      <c r="H178" s="59">
        <f t="shared" si="94"/>
        <v>71.19776121</v>
      </c>
      <c r="I178" s="59">
        <f t="shared" si="94"/>
        <v>98.3084993</v>
      </c>
      <c r="J178" s="59">
        <f t="shared" si="94"/>
        <v>129.7627224</v>
      </c>
      <c r="K178" s="59">
        <f t="shared" si="94"/>
        <v>167.8786822</v>
      </c>
      <c r="L178" s="59">
        <f t="shared" si="94"/>
        <v>208.2163071</v>
      </c>
    </row>
    <row r="179" ht="15.75" customHeight="1">
      <c r="A179" s="1"/>
      <c r="B179" s="1"/>
      <c r="C179" s="29"/>
      <c r="D179" s="1"/>
      <c r="E179" s="27"/>
      <c r="F179" s="27"/>
      <c r="G179" s="34"/>
      <c r="H179" s="27"/>
      <c r="I179" s="27"/>
      <c r="J179" s="27"/>
      <c r="K179" s="27"/>
      <c r="L179" s="27"/>
    </row>
    <row r="180" ht="15.75" customHeight="1">
      <c r="A180" s="1"/>
      <c r="B180" s="1"/>
      <c r="C180" s="73" t="s">
        <v>131</v>
      </c>
      <c r="D180" s="1"/>
      <c r="E180" s="74">
        <f t="shared" ref="E180:L180" si="95">E160-E178</f>
        <v>0</v>
      </c>
      <c r="F180" s="74">
        <f t="shared" si="95"/>
        <v>0</v>
      </c>
      <c r="G180" s="74">
        <f t="shared" si="95"/>
        <v>0</v>
      </c>
      <c r="H180" s="74">
        <f t="shared" si="95"/>
        <v>0</v>
      </c>
      <c r="I180" s="74">
        <f t="shared" si="95"/>
        <v>0</v>
      </c>
      <c r="J180" s="74">
        <f t="shared" si="95"/>
        <v>0</v>
      </c>
      <c r="K180" s="74">
        <f t="shared" si="95"/>
        <v>0</v>
      </c>
      <c r="L180" s="74">
        <f t="shared" si="95"/>
        <v>0</v>
      </c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3"/>
      <c r="C182" s="13"/>
      <c r="D182" s="13"/>
      <c r="E182" s="14" t="str">
        <f>$E$48</f>
        <v>Historical</v>
      </c>
      <c r="F182" s="15"/>
      <c r="G182" s="16"/>
      <c r="H182" s="17" t="str">
        <f>$H$48</f>
        <v>Projected</v>
      </c>
      <c r="I182" s="15"/>
      <c r="J182" s="15"/>
      <c r="K182" s="15"/>
      <c r="L182" s="16"/>
    </row>
    <row r="183" ht="15.75" customHeight="1">
      <c r="A183" s="1"/>
      <c r="B183" s="18" t="s">
        <v>132</v>
      </c>
      <c r="C183" s="18"/>
      <c r="D183" s="19" t="str">
        <f>$D$49</f>
        <v>Units:</v>
      </c>
      <c r="E183" s="20">
        <f>$E$49</f>
        <v>41608</v>
      </c>
      <c r="F183" s="20">
        <f>$F$49</f>
        <v>41973</v>
      </c>
      <c r="G183" s="20">
        <f>$G$49</f>
        <v>42338</v>
      </c>
      <c r="H183" s="21">
        <f>$H$49</f>
        <v>42704</v>
      </c>
      <c r="I183" s="20">
        <f>$I$49</f>
        <v>43069</v>
      </c>
      <c r="J183" s="20">
        <f>$J$49</f>
        <v>43434</v>
      </c>
      <c r="K183" s="20">
        <f>$K$49</f>
        <v>43799</v>
      </c>
      <c r="L183" s="20">
        <f>$L$49</f>
        <v>44165</v>
      </c>
    </row>
    <row r="184" ht="15.75" customHeight="1">
      <c r="A184" s="1"/>
      <c r="B184" s="22" t="s">
        <v>133</v>
      </c>
      <c r="C184" s="75"/>
      <c r="D184" s="22"/>
      <c r="E184" s="22" t="s">
        <v>134</v>
      </c>
      <c r="F184" s="22" t="s">
        <v>134</v>
      </c>
      <c r="G184" s="22" t="s">
        <v>134</v>
      </c>
      <c r="H184" s="22" t="s">
        <v>134</v>
      </c>
      <c r="I184" s="22" t="s">
        <v>134</v>
      </c>
      <c r="J184" s="22" t="s">
        <v>134</v>
      </c>
      <c r="K184" s="22" t="s">
        <v>134</v>
      </c>
      <c r="L184" s="22" t="s">
        <v>134</v>
      </c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A186" s="1"/>
      <c r="B186" s="1"/>
      <c r="C186" s="2" t="s">
        <v>105</v>
      </c>
      <c r="D186" s="23" t="s">
        <v>16</v>
      </c>
      <c r="E186" s="59"/>
      <c r="F186" s="59"/>
      <c r="G186" s="59"/>
      <c r="H186" s="59">
        <f t="shared" ref="H186:L186" si="96">+H144</f>
        <v>14.57246519</v>
      </c>
      <c r="I186" s="59">
        <f t="shared" si="96"/>
        <v>21.53818828</v>
      </c>
      <c r="J186" s="59">
        <f t="shared" si="96"/>
        <v>27.03461115</v>
      </c>
      <c r="K186" s="59">
        <f t="shared" si="96"/>
        <v>31.50980675</v>
      </c>
      <c r="L186" s="59">
        <f t="shared" si="96"/>
        <v>34.59637285</v>
      </c>
    </row>
    <row r="187" ht="15.75" customHeight="1">
      <c r="A187" s="1"/>
      <c r="B187" s="1"/>
      <c r="C187" s="2" t="s">
        <v>135</v>
      </c>
      <c r="D187" s="1"/>
      <c r="E187" s="76"/>
      <c r="F187" s="76"/>
      <c r="G187" s="76"/>
      <c r="H187" s="76"/>
      <c r="I187" s="76"/>
      <c r="J187" s="76"/>
      <c r="K187" s="76"/>
      <c r="L187" s="76"/>
    </row>
    <row r="188" ht="15.75" customHeight="1">
      <c r="A188" s="1"/>
      <c r="B188" s="1"/>
      <c r="C188" s="29" t="s">
        <v>136</v>
      </c>
      <c r="D188" s="23" t="s">
        <v>16</v>
      </c>
      <c r="E188" s="27"/>
      <c r="F188" s="27"/>
      <c r="G188" s="27"/>
      <c r="H188" s="27">
        <f t="shared" ref="H188:L188" si="97">+H129*H112</f>
        <v>1.17398988</v>
      </c>
      <c r="I188" s="27">
        <f t="shared" si="97"/>
        <v>2.116116759</v>
      </c>
      <c r="J188" s="27">
        <f t="shared" si="97"/>
        <v>3.367164986</v>
      </c>
      <c r="K188" s="27">
        <f t="shared" si="97"/>
        <v>5.008657917</v>
      </c>
      <c r="L188" s="27">
        <f t="shared" si="97"/>
        <v>7.006396904</v>
      </c>
    </row>
    <row r="189" ht="15.75" customHeight="1">
      <c r="A189" s="1"/>
      <c r="B189" s="1"/>
      <c r="C189" s="29" t="s">
        <v>137</v>
      </c>
      <c r="D189" s="23" t="s">
        <v>16</v>
      </c>
      <c r="E189" s="27"/>
      <c r="F189" s="27"/>
      <c r="G189" s="27"/>
      <c r="H189" s="27">
        <f t="shared" ref="H189:L189" si="98">+H124</f>
        <v>2.8259</v>
      </c>
      <c r="I189" s="27">
        <f t="shared" si="98"/>
        <v>3.8259</v>
      </c>
      <c r="J189" s="27">
        <f t="shared" si="98"/>
        <v>5.3259</v>
      </c>
      <c r="K189" s="27">
        <f t="shared" si="98"/>
        <v>7.3259</v>
      </c>
      <c r="L189" s="27">
        <f t="shared" si="98"/>
        <v>9.8259</v>
      </c>
    </row>
    <row r="190" ht="15.75" customHeight="1">
      <c r="A190" s="1"/>
      <c r="B190" s="1"/>
      <c r="C190" s="63" t="s">
        <v>71</v>
      </c>
      <c r="D190" s="23" t="s">
        <v>16</v>
      </c>
      <c r="E190" s="27"/>
      <c r="F190" s="27"/>
      <c r="G190" s="27"/>
      <c r="H190" s="27">
        <f t="shared" ref="H190:L190" si="99">+H97</f>
        <v>0.5</v>
      </c>
      <c r="I190" s="27">
        <f t="shared" si="99"/>
        <v>0.55</v>
      </c>
      <c r="J190" s="27">
        <f t="shared" si="99"/>
        <v>0.605</v>
      </c>
      <c r="K190" s="27">
        <f t="shared" si="99"/>
        <v>0.6655</v>
      </c>
      <c r="L190" s="27">
        <f t="shared" si="99"/>
        <v>0.73205</v>
      </c>
    </row>
    <row r="191" ht="15.75" customHeight="1">
      <c r="A191" s="1"/>
      <c r="B191" s="1"/>
      <c r="C191" s="2" t="s">
        <v>138</v>
      </c>
      <c r="D191" s="1"/>
      <c r="E191" s="27"/>
      <c r="F191" s="27"/>
      <c r="G191" s="27"/>
      <c r="H191" s="27"/>
      <c r="I191" s="27"/>
      <c r="J191" s="27"/>
      <c r="K191" s="27"/>
      <c r="L191" s="27"/>
    </row>
    <row r="192" ht="15.75" customHeight="1">
      <c r="A192" s="1"/>
      <c r="B192" s="1"/>
      <c r="C192" s="29" t="s">
        <v>110</v>
      </c>
      <c r="D192" s="23" t="s">
        <v>16</v>
      </c>
      <c r="E192" s="27"/>
      <c r="F192" s="27"/>
      <c r="G192" s="27"/>
      <c r="H192" s="27">
        <f t="shared" ref="H192:L192" si="100">+G151-H151</f>
        <v>-6.53033555</v>
      </c>
      <c r="I192" s="27">
        <f t="shared" si="100"/>
        <v>-7.374123934</v>
      </c>
      <c r="J192" s="27">
        <f t="shared" si="100"/>
        <v>-7.220190381</v>
      </c>
      <c r="K192" s="27">
        <f t="shared" si="100"/>
        <v>-7.470897314</v>
      </c>
      <c r="L192" s="27">
        <f t="shared" si="100"/>
        <v>-7.026431535</v>
      </c>
    </row>
    <row r="193" ht="15.75" customHeight="1">
      <c r="A193" s="1"/>
      <c r="B193" s="1"/>
      <c r="C193" s="29" t="s">
        <v>111</v>
      </c>
      <c r="D193" s="23" t="s">
        <v>16</v>
      </c>
      <c r="E193" s="27"/>
      <c r="F193" s="27"/>
      <c r="G193" s="27"/>
      <c r="H193" s="27">
        <f t="shared" ref="H193:L193" si="101">+G152-H152</f>
        <v>-1.845132312</v>
      </c>
      <c r="I193" s="27">
        <f t="shared" si="101"/>
        <v>-2.254633816</v>
      </c>
      <c r="J193" s="27">
        <f t="shared" si="101"/>
        <v>-1.587285523</v>
      </c>
      <c r="K193" s="27">
        <f t="shared" si="101"/>
        <v>-2.53875841</v>
      </c>
      <c r="L193" s="27">
        <f t="shared" si="101"/>
        <v>-1.354989099</v>
      </c>
    </row>
    <row r="194" ht="15.75" customHeight="1">
      <c r="A194" s="1"/>
      <c r="B194" s="1"/>
      <c r="C194" s="29" t="s">
        <v>120</v>
      </c>
      <c r="D194" s="23" t="s">
        <v>16</v>
      </c>
      <c r="E194" s="27"/>
      <c r="F194" s="27"/>
      <c r="G194" s="27"/>
      <c r="H194" s="27">
        <f t="shared" ref="H194:L194" si="102">+H164-G164</f>
        <v>0.5412439615</v>
      </c>
      <c r="I194" s="27">
        <f t="shared" si="102"/>
        <v>0.7803275728</v>
      </c>
      <c r="J194" s="27">
        <f t="shared" si="102"/>
        <v>0.8448977918</v>
      </c>
      <c r="K194" s="27">
        <f t="shared" si="102"/>
        <v>0.9585413945</v>
      </c>
      <c r="L194" s="27">
        <f t="shared" si="102"/>
        <v>1.013254286</v>
      </c>
    </row>
    <row r="195" ht="15.75" customHeight="1">
      <c r="A195" s="1"/>
      <c r="B195" s="1"/>
      <c r="C195" s="29" t="s">
        <v>121</v>
      </c>
      <c r="D195" s="23" t="s">
        <v>16</v>
      </c>
      <c r="E195" s="27"/>
      <c r="F195" s="27"/>
      <c r="G195" s="27"/>
      <c r="H195" s="27">
        <f t="shared" ref="H195:L195" si="103">+H165-G165</f>
        <v>3.000887187</v>
      </c>
      <c r="I195" s="27">
        <f t="shared" si="103"/>
        <v>3.757723026</v>
      </c>
      <c r="J195" s="27">
        <f t="shared" si="103"/>
        <v>3.21475173</v>
      </c>
      <c r="K195" s="27">
        <f t="shared" si="103"/>
        <v>4.385128163</v>
      </c>
      <c r="L195" s="27">
        <f t="shared" si="103"/>
        <v>3.306748383</v>
      </c>
    </row>
    <row r="196" ht="14.25" customHeight="1">
      <c r="A196" s="1"/>
      <c r="B196" s="1"/>
      <c r="C196" s="29" t="s">
        <v>139</v>
      </c>
      <c r="D196" s="30" t="s">
        <v>16</v>
      </c>
      <c r="E196" s="27"/>
      <c r="F196" s="27"/>
      <c r="G196" s="27"/>
      <c r="H196" s="27">
        <f t="shared" ref="H196:L196" si="104">+H166-G166+H171-G171</f>
        <v>1.079754875</v>
      </c>
      <c r="I196" s="27">
        <f t="shared" si="104"/>
        <v>1.50308921</v>
      </c>
      <c r="J196" s="27">
        <f t="shared" si="104"/>
        <v>0.77355242</v>
      </c>
      <c r="K196" s="27">
        <f t="shared" si="104"/>
        <v>1.615573534</v>
      </c>
      <c r="L196" s="27">
        <f t="shared" si="104"/>
        <v>1.707789373</v>
      </c>
    </row>
    <row r="197" ht="15.75" customHeight="1">
      <c r="A197" s="1"/>
      <c r="B197" s="1"/>
      <c r="C197" s="32" t="s">
        <v>140</v>
      </c>
      <c r="D197" s="23" t="s">
        <v>16</v>
      </c>
      <c r="E197" s="35"/>
      <c r="F197" s="35"/>
      <c r="G197" s="35"/>
      <c r="H197" s="35">
        <f t="shared" ref="H197:L197" si="105">SUM(H186:H196)</f>
        <v>15.31877323</v>
      </c>
      <c r="I197" s="35">
        <f t="shared" si="105"/>
        <v>24.4425871</v>
      </c>
      <c r="J197" s="35">
        <f t="shared" si="105"/>
        <v>32.35840217</v>
      </c>
      <c r="K197" s="35">
        <f t="shared" si="105"/>
        <v>41.45945203</v>
      </c>
      <c r="L197" s="35">
        <f t="shared" si="105"/>
        <v>49.80709117</v>
      </c>
    </row>
    <row r="198" ht="15.75" customHeight="1">
      <c r="A198" s="1"/>
      <c r="B198" s="1"/>
      <c r="C198" s="2"/>
      <c r="D198" s="1"/>
      <c r="E198" s="27"/>
      <c r="F198" s="27"/>
      <c r="G198" s="27"/>
      <c r="H198" s="27"/>
      <c r="I198" s="27"/>
      <c r="J198" s="27"/>
      <c r="K198" s="27"/>
      <c r="L198" s="27"/>
    </row>
    <row r="199" ht="15.75" customHeight="1">
      <c r="A199" s="1"/>
      <c r="B199" s="22" t="s">
        <v>141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</row>
    <row r="200" ht="15.75" customHeight="1">
      <c r="A200" s="1"/>
      <c r="B200" s="1"/>
      <c r="C200" s="29" t="s">
        <v>142</v>
      </c>
      <c r="D200" s="23" t="s">
        <v>16</v>
      </c>
      <c r="E200" s="27"/>
      <c r="F200" s="27"/>
      <c r="G200" s="27"/>
      <c r="H200" s="27">
        <f t="shared" ref="H200:L200" si="106">-H111*H129</f>
        <v>-1.46748735</v>
      </c>
      <c r="I200" s="27">
        <f t="shared" si="106"/>
        <v>-2.53934011</v>
      </c>
      <c r="J200" s="27">
        <f t="shared" si="106"/>
        <v>-3.928359151</v>
      </c>
      <c r="K200" s="27">
        <f t="shared" si="106"/>
        <v>-5.724180477</v>
      </c>
      <c r="L200" s="27">
        <f t="shared" si="106"/>
        <v>-7.882196517</v>
      </c>
    </row>
    <row r="201" ht="15.75" customHeight="1">
      <c r="A201" s="1"/>
      <c r="B201" s="1"/>
      <c r="C201" s="29" t="s">
        <v>143</v>
      </c>
      <c r="D201" s="30" t="s">
        <v>16</v>
      </c>
      <c r="E201" s="27"/>
      <c r="F201" s="27"/>
      <c r="G201" s="27"/>
      <c r="H201" s="27">
        <f t="shared" ref="H201:L201" si="107">-H114</f>
        <v>-5</v>
      </c>
      <c r="I201" s="27">
        <f t="shared" si="107"/>
        <v>-5</v>
      </c>
      <c r="J201" s="27">
        <f t="shared" si="107"/>
        <v>-10</v>
      </c>
      <c r="K201" s="27">
        <f t="shared" si="107"/>
        <v>-10</v>
      </c>
      <c r="L201" s="27">
        <f t="shared" si="107"/>
        <v>-15</v>
      </c>
    </row>
    <row r="202" ht="15.75" customHeight="1">
      <c r="A202" s="1"/>
      <c r="B202" s="1"/>
      <c r="C202" s="32" t="s">
        <v>144</v>
      </c>
      <c r="D202" s="23" t="s">
        <v>16</v>
      </c>
      <c r="E202" s="35"/>
      <c r="F202" s="35"/>
      <c r="G202" s="35"/>
      <c r="H202" s="35">
        <f t="shared" ref="H202:L202" si="108">SUM(H200:H201)</f>
        <v>-6.46748735</v>
      </c>
      <c r="I202" s="35">
        <f t="shared" si="108"/>
        <v>-7.53934011</v>
      </c>
      <c r="J202" s="35">
        <f t="shared" si="108"/>
        <v>-13.92835915</v>
      </c>
      <c r="K202" s="35">
        <f t="shared" si="108"/>
        <v>-15.72418048</v>
      </c>
      <c r="L202" s="35">
        <f t="shared" si="108"/>
        <v>-22.88219652</v>
      </c>
    </row>
    <row r="203" ht="15.75" customHeight="1">
      <c r="A203" s="1"/>
      <c r="B203" s="1"/>
      <c r="C203" s="2"/>
      <c r="D203" s="1"/>
      <c r="E203" s="27"/>
      <c r="F203" s="27"/>
      <c r="G203" s="27"/>
      <c r="H203" s="27"/>
      <c r="I203" s="27"/>
      <c r="J203" s="27"/>
      <c r="K203" s="27"/>
      <c r="L203" s="27"/>
    </row>
    <row r="204" ht="15.75" customHeight="1">
      <c r="A204" s="1"/>
      <c r="B204" s="22" t="s">
        <v>145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</row>
    <row r="205" ht="15.75" customHeight="1">
      <c r="A205" s="1"/>
      <c r="B205" s="1"/>
      <c r="C205" s="63" t="s">
        <v>146</v>
      </c>
      <c r="D205" s="30" t="s">
        <v>16</v>
      </c>
      <c r="E205" s="27"/>
      <c r="F205" s="27"/>
      <c r="G205" s="27"/>
      <c r="H205" s="27">
        <f t="shared" ref="H205:L205" si="109">+H84+H90+H96</f>
        <v>-1.01859</v>
      </c>
      <c r="I205" s="27">
        <f t="shared" si="109"/>
        <v>-1.01859</v>
      </c>
      <c r="J205" s="27">
        <f t="shared" si="109"/>
        <v>-1.01859</v>
      </c>
      <c r="K205" s="27">
        <f t="shared" si="109"/>
        <v>-1.01859</v>
      </c>
      <c r="L205" s="27">
        <f t="shared" si="109"/>
        <v>-1.01859</v>
      </c>
    </row>
    <row r="206" ht="14.25" customHeight="1">
      <c r="A206" s="1"/>
      <c r="B206" s="1"/>
      <c r="C206" s="32" t="s">
        <v>147</v>
      </c>
      <c r="D206" s="23" t="s">
        <v>16</v>
      </c>
      <c r="E206" s="35"/>
      <c r="F206" s="35"/>
      <c r="G206" s="35"/>
      <c r="H206" s="35">
        <f t="shared" ref="H206:L206" si="110">SUM(H205)</f>
        <v>-1.01859</v>
      </c>
      <c r="I206" s="35">
        <f t="shared" si="110"/>
        <v>-1.01859</v>
      </c>
      <c r="J206" s="35">
        <f t="shared" si="110"/>
        <v>-1.01859</v>
      </c>
      <c r="K206" s="35">
        <f t="shared" si="110"/>
        <v>-1.01859</v>
      </c>
      <c r="L206" s="35">
        <f t="shared" si="110"/>
        <v>-1.01859</v>
      </c>
    </row>
    <row r="207" ht="15.75" customHeight="1">
      <c r="A207" s="1"/>
      <c r="B207" s="1"/>
      <c r="C207" s="2"/>
      <c r="D207" s="1"/>
      <c r="E207" s="27"/>
      <c r="F207" s="27"/>
      <c r="G207" s="27"/>
      <c r="H207" s="27"/>
      <c r="I207" s="27"/>
      <c r="J207" s="27"/>
      <c r="K207" s="27"/>
      <c r="L207" s="27"/>
    </row>
    <row r="208" ht="14.25" customHeight="1">
      <c r="A208" s="1"/>
      <c r="B208" s="1"/>
      <c r="C208" s="29" t="s">
        <v>148</v>
      </c>
      <c r="D208" s="23" t="s">
        <v>16</v>
      </c>
      <c r="E208" s="77"/>
      <c r="F208" s="77"/>
      <c r="G208" s="77"/>
      <c r="H208" s="77">
        <f t="shared" ref="H208:L208" si="111">+H197+H202+H206</f>
        <v>7.832695881</v>
      </c>
      <c r="I208" s="77">
        <f t="shared" si="111"/>
        <v>15.88465699</v>
      </c>
      <c r="J208" s="77">
        <f t="shared" si="111"/>
        <v>17.41145302</v>
      </c>
      <c r="K208" s="77">
        <f t="shared" si="111"/>
        <v>24.71668156</v>
      </c>
      <c r="L208" s="77">
        <f t="shared" si="111"/>
        <v>25.90630465</v>
      </c>
    </row>
    <row r="209" ht="14.25" customHeight="1">
      <c r="A209" s="1"/>
      <c r="B209" s="1"/>
      <c r="C209" s="67" t="s">
        <v>149</v>
      </c>
      <c r="D209" s="30" t="s">
        <v>16</v>
      </c>
      <c r="E209" s="49"/>
      <c r="F209" s="49"/>
      <c r="G209" s="49"/>
      <c r="H209" s="49">
        <f>+G150</f>
        <v>12.149</v>
      </c>
      <c r="I209" s="49">
        <f t="shared" ref="I209:L209" si="112">+H210</f>
        <v>19.98169588</v>
      </c>
      <c r="J209" s="49">
        <f t="shared" si="112"/>
        <v>35.86635287</v>
      </c>
      <c r="K209" s="49">
        <f t="shared" si="112"/>
        <v>53.27780589</v>
      </c>
      <c r="L209" s="49">
        <f t="shared" si="112"/>
        <v>77.99448744</v>
      </c>
    </row>
    <row r="210" ht="14.25" customHeight="1">
      <c r="A210" s="1"/>
      <c r="B210" s="1"/>
      <c r="C210" s="2" t="s">
        <v>150</v>
      </c>
      <c r="D210" s="23" t="s">
        <v>16</v>
      </c>
      <c r="E210" s="59"/>
      <c r="F210" s="59"/>
      <c r="G210" s="59"/>
      <c r="H210" s="59">
        <f t="shared" ref="H210:L210" si="113">SUM(H208:H209)</f>
        <v>19.98169588</v>
      </c>
      <c r="I210" s="59">
        <f t="shared" si="113"/>
        <v>35.86635287</v>
      </c>
      <c r="J210" s="59">
        <f t="shared" si="113"/>
        <v>53.27780589</v>
      </c>
      <c r="K210" s="59">
        <f t="shared" si="113"/>
        <v>77.99448744</v>
      </c>
      <c r="L210" s="59">
        <f t="shared" si="113"/>
        <v>103.9007921</v>
      </c>
    </row>
    <row r="211" ht="15.75" customHeight="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ht="15.75" customHeight="1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ht="15.75" customHeight="1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mergeCells count="11">
    <mergeCell ref="E146:G146"/>
    <mergeCell ref="H146:L146"/>
    <mergeCell ref="E182:G182"/>
    <mergeCell ref="H182:L182"/>
    <mergeCell ref="D7:F7"/>
    <mergeCell ref="E14:G14"/>
    <mergeCell ref="H14:L14"/>
    <mergeCell ref="E48:G48"/>
    <mergeCell ref="H48:L48"/>
    <mergeCell ref="E126:G126"/>
    <mergeCell ref="H126:L126"/>
  </mergeCells>
  <printOptions/>
  <pageMargins bottom="0.75" footer="0.0" header="0.0" left="0.7" right="0.7" top="0.75"/>
  <pageSetup orientation="portrait"/>
  <rowBreaks count="5" manualBreakCount="5">
    <brk id="145" man="1"/>
    <brk id="101" man="1"/>
    <brk id="181" man="1"/>
    <brk id="70" man="1"/>
    <brk id="1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Anonymous</dc:creator>
</cp:coreProperties>
</file>