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24080" yWindow="500" windowWidth="27280" windowHeight="26580" xr2:uid="{00000000-000D-0000-FFFF-FFFF00000000}"/>
  </bookViews>
  <sheets>
    <sheet name="FO-Model" sheetId="37" r:id="rId1"/>
  </sheets>
  <definedNames>
    <definedName name="CIQWBGuid" hidden="1">"fedf60f8-2cd9-49ba-9fee-91fc372c3a0f"</definedName>
    <definedName name="Diluted_Shares">'FO-Model'!$F$8</definedName>
    <definedName name="FO_Forward_Year_1_EBITDA">'FO-Model'!$K$17</definedName>
    <definedName name="FO_Forward_Year_1_Net_Income">'FO-Model'!$K$18</definedName>
    <definedName name="FO_Forward_Year_1_Revenue">'FO-Model'!$K$16</definedName>
    <definedName name="FO_Greenshoe_Pct">'FO-Model'!$F$18</definedName>
    <definedName name="FO_Greenshoe_Primary_Pct">'FO-Model'!$F$19</definedName>
    <definedName name="FO_Offering_Size">'FO-Model'!$F$11</definedName>
    <definedName name="FO_Pre_Transaction_EPS">'FO-Model'!$K$14</definedName>
    <definedName name="FO_Primary_Pct">'FO-Model'!$F$15</definedName>
    <definedName name="FO_Spread">'FO-Model'!$F$13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'FO-Model'!$A$1:$M$91</definedName>
    <definedName name="Secondary_Shares">#REF!</definedName>
    <definedName name="Share_Price">'FO-Model'!$F$7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7" l="1"/>
  <c r="K34" i="37"/>
  <c r="J34" i="37"/>
  <c r="I34" i="37"/>
  <c r="H34" i="37"/>
  <c r="G34" i="37"/>
  <c r="F9" i="37"/>
  <c r="G24" i="37" l="1"/>
  <c r="H22" i="37"/>
  <c r="H24" i="37" s="1"/>
  <c r="K12" i="37"/>
  <c r="G55" i="37" s="1"/>
  <c r="F16" i="37"/>
  <c r="H26" i="37" l="1"/>
  <c r="H55" i="37"/>
  <c r="I55" i="37"/>
  <c r="L55" i="37"/>
  <c r="J55" i="37"/>
  <c r="G26" i="37"/>
  <c r="K55" i="37"/>
  <c r="I22" i="37"/>
  <c r="G30" i="37" l="1"/>
  <c r="G31" i="37" s="1"/>
  <c r="G27" i="37"/>
  <c r="H49" i="37"/>
  <c r="H27" i="37"/>
  <c r="H28" i="37" s="1"/>
  <c r="H30" i="37"/>
  <c r="H31" i="37" s="1"/>
  <c r="I24" i="37"/>
  <c r="I26" i="37" s="1"/>
  <c r="J22" i="37"/>
  <c r="G49" i="37"/>
  <c r="I27" i="37" l="1"/>
  <c r="I28" i="37" s="1"/>
  <c r="I30" i="37"/>
  <c r="I31" i="37" s="1"/>
  <c r="H50" i="37"/>
  <c r="H51" i="37" s="1"/>
  <c r="H35" i="37"/>
  <c r="H53" i="37" s="1"/>
  <c r="I49" i="37"/>
  <c r="G50" i="37"/>
  <c r="G51" i="37" s="1"/>
  <c r="G32" i="37"/>
  <c r="G28" i="37"/>
  <c r="H32" i="37"/>
  <c r="J24" i="37"/>
  <c r="J26" i="37" s="1"/>
  <c r="K22" i="37"/>
  <c r="J30" i="37" l="1"/>
  <c r="J31" i="37" s="1"/>
  <c r="J27" i="37"/>
  <c r="J28" i="37" s="1"/>
  <c r="H54" i="37"/>
  <c r="H56" i="37" s="1"/>
  <c r="H63" i="37" s="1"/>
  <c r="H36" i="37"/>
  <c r="J49" i="37"/>
  <c r="G35" i="37"/>
  <c r="I32" i="37"/>
  <c r="I50" i="37"/>
  <c r="I51" i="37" s="1"/>
  <c r="L22" i="37"/>
  <c r="L24" i="37" s="1"/>
  <c r="L26" i="37" s="1"/>
  <c r="K24" i="37"/>
  <c r="K26" i="37" s="1"/>
  <c r="H58" i="37" l="1"/>
  <c r="H84" i="37"/>
  <c r="H85" i="37" s="1"/>
  <c r="H86" i="37" s="1"/>
  <c r="K27" i="37"/>
  <c r="K28" i="37" s="1"/>
  <c r="K30" i="37"/>
  <c r="K31" i="37" s="1"/>
  <c r="L27" i="37"/>
  <c r="L28" i="37" s="1"/>
  <c r="L30" i="37"/>
  <c r="L31" i="37" s="1"/>
  <c r="H40" i="37"/>
  <c r="H45" i="37"/>
  <c r="I35" i="37"/>
  <c r="J35" i="37"/>
  <c r="J50" i="37"/>
  <c r="J51" i="37" s="1"/>
  <c r="G53" i="37"/>
  <c r="G54" i="37"/>
  <c r="G36" i="37"/>
  <c r="G84" i="37" s="1"/>
  <c r="G85" i="37" s="1"/>
  <c r="G86" i="37" s="1"/>
  <c r="K49" i="37"/>
  <c r="L49" i="37"/>
  <c r="H72" i="37" l="1"/>
  <c r="H88" i="37"/>
  <c r="I53" i="37"/>
  <c r="H43" i="37"/>
  <c r="H42" i="37" s="1"/>
  <c r="H62" i="37"/>
  <c r="I36" i="37"/>
  <c r="I54" i="37"/>
  <c r="I56" i="37" s="1"/>
  <c r="I63" i="37" s="1"/>
  <c r="J53" i="37"/>
  <c r="J54" i="37"/>
  <c r="J36" i="37"/>
  <c r="K35" i="37"/>
  <c r="K50" i="37"/>
  <c r="K51" i="37" s="1"/>
  <c r="J32" i="37"/>
  <c r="L32" i="37"/>
  <c r="L50" i="37"/>
  <c r="L51" i="37" s="1"/>
  <c r="G40" i="37"/>
  <c r="G45" i="37"/>
  <c r="G56" i="37"/>
  <c r="G63" i="37" s="1"/>
  <c r="G58" i="37"/>
  <c r="H73" i="37" l="1"/>
  <c r="H75" i="37"/>
  <c r="H70" i="37"/>
  <c r="H76" i="37"/>
  <c r="G72" i="37"/>
  <c r="G75" i="37" s="1"/>
  <c r="G88" i="37"/>
  <c r="J58" i="37"/>
  <c r="J84" i="37"/>
  <c r="J85" i="37" s="1"/>
  <c r="J86" i="37" s="1"/>
  <c r="I40" i="37"/>
  <c r="I84" i="37"/>
  <c r="I85" i="37" s="1"/>
  <c r="I86" i="37" s="1"/>
  <c r="I58" i="37"/>
  <c r="I45" i="37"/>
  <c r="I62" i="37" s="1"/>
  <c r="I76" i="37" s="1"/>
  <c r="L35" i="37"/>
  <c r="L36" i="37" s="1"/>
  <c r="L84" i="37" s="1"/>
  <c r="L85" i="37" s="1"/>
  <c r="L86" i="37" s="1"/>
  <c r="K32" i="37"/>
  <c r="K53" i="37"/>
  <c r="K54" i="37"/>
  <c r="K36" i="37"/>
  <c r="J56" i="37"/>
  <c r="J63" i="37" s="1"/>
  <c r="G43" i="37"/>
  <c r="G42" i="37" s="1"/>
  <c r="G62" i="37"/>
  <c r="G76" i="37" s="1"/>
  <c r="J40" i="37"/>
  <c r="J45" i="37"/>
  <c r="J72" i="37" l="1"/>
  <c r="J75" i="37" s="1"/>
  <c r="J88" i="37"/>
  <c r="G73" i="37"/>
  <c r="H79" i="37"/>
  <c r="H82" i="37"/>
  <c r="I72" i="37"/>
  <c r="I88" i="37"/>
  <c r="H78" i="37"/>
  <c r="H81" i="37"/>
  <c r="K58" i="37"/>
  <c r="K84" i="37"/>
  <c r="K85" i="37" s="1"/>
  <c r="K86" i="37" s="1"/>
  <c r="L53" i="37"/>
  <c r="L54" i="37"/>
  <c r="I43" i="37"/>
  <c r="I42" i="37" s="1"/>
  <c r="K56" i="37"/>
  <c r="K63" i="37" s="1"/>
  <c r="G70" i="37"/>
  <c r="L45" i="37"/>
  <c r="L40" i="37"/>
  <c r="I70" i="37"/>
  <c r="J43" i="37"/>
  <c r="J42" i="37" s="1"/>
  <c r="J62" i="37"/>
  <c r="J76" i="37" s="1"/>
  <c r="L58" i="37"/>
  <c r="K45" i="37"/>
  <c r="K40" i="37"/>
  <c r="J73" i="37" l="1"/>
  <c r="J81" i="37" s="1"/>
  <c r="I75" i="37"/>
  <c r="I73" i="37"/>
  <c r="G81" i="37"/>
  <c r="G78" i="37"/>
  <c r="G82" i="37"/>
  <c r="G79" i="37"/>
  <c r="I82" i="37"/>
  <c r="I79" i="37"/>
  <c r="L72" i="37"/>
  <c r="L75" i="37" s="1"/>
  <c r="L88" i="37"/>
  <c r="K72" i="37"/>
  <c r="K75" i="37" s="1"/>
  <c r="K88" i="37"/>
  <c r="L56" i="37"/>
  <c r="L63" i="37" s="1"/>
  <c r="K62" i="37"/>
  <c r="K76" i="37" s="1"/>
  <c r="K43" i="37"/>
  <c r="K42" i="37" s="1"/>
  <c r="L62" i="37"/>
  <c r="L76" i="37" s="1"/>
  <c r="L43" i="37"/>
  <c r="L42" i="37" s="1"/>
  <c r="J70" i="37"/>
  <c r="J78" i="37" l="1"/>
  <c r="L73" i="37"/>
  <c r="K73" i="37"/>
  <c r="K78" i="37" s="1"/>
  <c r="L81" i="37"/>
  <c r="L78" i="37"/>
  <c r="J82" i="37"/>
  <c r="J79" i="37"/>
  <c r="I78" i="37"/>
  <c r="I81" i="37"/>
  <c r="K70" i="37"/>
  <c r="L70" i="37"/>
  <c r="K81" i="37" l="1"/>
  <c r="K79" i="37"/>
  <c r="K82" i="37"/>
  <c r="L79" i="37"/>
  <c r="L8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Allows the issuer to issue more shares if there's strong market demand. Set to 0.0% if there is no Greenshoe Provision.</t>
        </r>
      </text>
    </comment>
    <comment ref="F1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</commentList>
</comments>
</file>

<file path=xl/sharedStrings.xml><?xml version="1.0" encoding="utf-8"?>
<sst xmlns="http://schemas.openxmlformats.org/spreadsheetml/2006/main" count="119" uniqueCount="76">
  <si>
    <t>%</t>
  </si>
  <si>
    <t>M Shares</t>
  </si>
  <si>
    <t>x</t>
  </si>
  <si>
    <t>Underwriting Discount:</t>
  </si>
  <si>
    <t>$ in Millions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</si>
  <si>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</si>
  <si>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</si>
  <si>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</si>
  <si>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</si>
  <si>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</si>
  <si>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</si>
  <si>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</si>
  <si>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</si>
  <si>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</si>
  <si>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</si>
  <si>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$ as Stated</t>
  </si>
  <si>
    <t>Deal Size &amp; Gross and Net Proceeds to Issuer:</t>
  </si>
  <si>
    <t>Total Offering Size:</t>
  </si>
  <si>
    <t>Gross Primary Proceeds:</t>
  </si>
  <si>
    <t>Valuation Multiples @ Pricing and Trading:</t>
  </si>
  <si>
    <t>Base Deal Size (Primary + Secondary):</t>
  </si>
  <si>
    <t>Forward Year 1 Net Income:</t>
  </si>
  <si>
    <t>Forward Year 1 Revenue:</t>
  </si>
  <si>
    <t>Forward Year 1 EBITDA:</t>
  </si>
  <si>
    <t>Expense Assumptions:</t>
  </si>
  <si>
    <t>Primary Shares Issued:</t>
  </si>
  <si>
    <t>Secondary Shares Sold:</t>
  </si>
  <si>
    <t>Post-Money Equity Value @ Trading and @ Pricing:</t>
  </si>
  <si>
    <t>(+) Total Overallotment:</t>
  </si>
  <si>
    <t>(-) Underwriting Discount:</t>
  </si>
  <si>
    <t>(-) Deal-Related Fees: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</si>
  <si>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</si>
  <si>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</si>
  <si>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</si>
  <si>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</si>
  <si>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</si>
  <si>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</si>
  <si>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Total Primary Shares Issued:</t>
  </si>
  <si>
    <t>Follow-On Equity Financing Model</t>
  </si>
  <si>
    <t>Follow-On Equity Transaction Assumptions:</t>
  </si>
  <si>
    <t>Base Funds Raised in Follow-On Offering:</t>
  </si>
  <si>
    <t>SEC Filing &amp; Registration Fees:</t>
  </si>
  <si>
    <t>Printing Fees:</t>
  </si>
  <si>
    <t>Accounting &amp; Legal Fees:</t>
  </si>
  <si>
    <t>Miscellaneous / Other Fees:</t>
  </si>
  <si>
    <t>Follow-On Equity Filing Range - Discount to Current Share Price</t>
  </si>
  <si>
    <t>Shares Issued in Follow-On Offering:</t>
  </si>
  <si>
    <t>Units:</t>
  </si>
  <si>
    <t>Follow-On Offering Price:</t>
  </si>
  <si>
    <t>Base Shares Issued or Sold in Offering:</t>
  </si>
  <si>
    <t>Overallotment Shares Issued or Sold:</t>
  </si>
  <si>
    <t>Pre-Transaction Diluted Shares Outstanding:</t>
  </si>
  <si>
    <t>Pro-Forma Diluted Shares Outstanding:</t>
  </si>
  <si>
    <t>Net Proceeds to Issuer:</t>
  </si>
  <si>
    <t>% Company Sold in Follow-On Offering:</t>
  </si>
  <si>
    <t>(-) Net FO Proceeds:</t>
  </si>
  <si>
    <t>Post-Money Enterprise Value @ Trading:</t>
  </si>
  <si>
    <t>Post-Money Equity Value @ Pricing:</t>
  </si>
  <si>
    <t>Post-Money Enterprise Value @ Pricing:</t>
  </si>
  <si>
    <t>Current Share Price:</t>
  </si>
  <si>
    <t>Diluted Shares Outstanding:</t>
  </si>
  <si>
    <t>Diluted Equity Value:</t>
  </si>
  <si>
    <t>Forward Year 1 P / E Multiple at Pricing:</t>
  </si>
  <si>
    <t>Forward Year 1 P / E Multiple at Trading:</t>
  </si>
  <si>
    <t>Forward Year 1 EV / EBITDA Multiple at Pricing:</t>
  </si>
  <si>
    <t>Forward Year 1 EV / EBITDA Multiple at Trading:</t>
  </si>
  <si>
    <t>Forward Year 1 EV / Revenue Multiple at Pricing:</t>
  </si>
  <si>
    <t>Forward Year 1 EV / Revenue Multiple at Trading:</t>
  </si>
  <si>
    <t>Forward Year 1 EPS Accretion / (Dilution) - $:</t>
  </si>
  <si>
    <t>Forward Year 1 EPS Accretion / (Dilution) - %:</t>
  </si>
  <si>
    <t>After-Tax Cost of Equity:</t>
  </si>
  <si>
    <t>After-Tax Cost of Debt:</t>
  </si>
  <si>
    <t>After-Tax Cost of Convertible Bonds:</t>
  </si>
  <si>
    <t>Pre-Transaction Forward 1 Year EPS:</t>
  </si>
  <si>
    <t>Forward Year 1 Post-Transaction EPS:</t>
  </si>
  <si>
    <t>($ USD in Millions Except Per Share Values in $ as 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</si>
</sst>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9" formatCode="0.0\ \x_);\(0.0\ \x\);\-_)"/>
    <numFmt numFmtId="172" formatCode="#,##0.000_);\(#,##0.000\)"/>
    <numFmt numFmtId="173" formatCode="_(\₩* #,##0_);_(\₩* \(#,##0\);_(\₩* &quot;-&quot;?_);_(@_)"/>
    <numFmt numFmtId="174" formatCode="0.00%;\(0.00%\);&quot;–&quot;;@"/>
    <numFmt numFmtId="175" formatCode="_(* #,##0.000_);_(* \(#,##0.000\);_(* &quot;-&quot;???_);_(@_)"/>
    <numFmt numFmtId="176" formatCode="_(&quot;$&quot;* #,##0.00_);_(&quot;$&quot;* \(#,##0.00\);_(&quot;$&quot;* &quot;-&quot;?_);_(@_)"/>
    <numFmt numFmtId="177" formatCode="0.00%;\(0.00%\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92">
    <xf numFmtId="0" fontId="0" fillId="0" borderId="0" xfId="0"/>
    <xf numFmtId="0" fontId="16" fillId="0" borderId="0" xfId="1" applyFont="1"/>
    <xf numFmtId="166" fontId="18" fillId="3" borderId="2" xfId="2" applyNumberFormat="1" applyFont="1" applyFill="1" applyAlignment="1">
      <alignment horizontal="center" wrapText="1"/>
    </xf>
    <xf numFmtId="167" fontId="18" fillId="3" borderId="2" xfId="2" applyNumberFormat="1" applyFont="1" applyFill="1" applyAlignment="1">
      <alignment horizontal="center" wrapText="1"/>
    </xf>
    <xf numFmtId="172" fontId="18" fillId="3" borderId="2" xfId="0" applyNumberFormat="1" applyFont="1" applyFill="1" applyBorder="1" applyAlignment="1">
      <alignment horizontal="center"/>
    </xf>
    <xf numFmtId="0" fontId="12" fillId="0" borderId="0" xfId="15" applyFont="1"/>
    <xf numFmtId="44" fontId="18" fillId="3" borderId="2" xfId="2" applyNumberFormat="1" applyFont="1" applyFill="1" applyAlignment="1">
      <alignment horizontal="center" wrapText="1"/>
    </xf>
    <xf numFmtId="174" fontId="18" fillId="3" borderId="2" xfId="0" applyNumberFormat="1" applyFont="1" applyFill="1" applyBorder="1" applyAlignment="1">
      <alignment horizontal="center"/>
    </xf>
    <xf numFmtId="0" fontId="14" fillId="0" borderId="0" xfId="15" applyFont="1"/>
    <xf numFmtId="0" fontId="1" fillId="0" borderId="0" xfId="15" applyFont="1"/>
    <xf numFmtId="0" fontId="13" fillId="4" borderId="1" xfId="15" applyFont="1" applyFill="1" applyBorder="1"/>
    <xf numFmtId="0" fontId="17" fillId="4" borderId="1" xfId="15" applyFont="1" applyFill="1" applyBorder="1"/>
    <xf numFmtId="173" fontId="20" fillId="0" borderId="0" xfId="15" applyNumberFormat="1" applyFont="1"/>
    <xf numFmtId="0" fontId="14" fillId="5" borderId="1" xfId="15" applyFont="1" applyFill="1" applyBorder="1"/>
    <xf numFmtId="0" fontId="1" fillId="5" borderId="1" xfId="15" applyFont="1" applyFill="1" applyBorder="1"/>
    <xf numFmtId="0" fontId="14" fillId="5" borderId="1" xfId="15" applyFont="1" applyFill="1" applyBorder="1" applyAlignment="1">
      <alignment horizontal="center"/>
    </xf>
    <xf numFmtId="0" fontId="1" fillId="0" borderId="0" xfId="15" applyFont="1" applyAlignment="1">
      <alignment horizontal="left" indent="1"/>
    </xf>
    <xf numFmtId="166" fontId="18" fillId="3" borderId="2" xfId="16" applyNumberFormat="1" applyFont="1" applyFill="1" applyAlignment="1">
      <alignment horizontal="center" wrapText="1"/>
    </xf>
    <xf numFmtId="166" fontId="1" fillId="0" borderId="0" xfId="0" applyNumberFormat="1" applyFont="1"/>
    <xf numFmtId="167" fontId="18" fillId="3" borderId="2" xfId="16" applyNumberFormat="1" applyFont="1" applyFill="1" applyAlignment="1">
      <alignment horizontal="center" wrapText="1"/>
    </xf>
    <xf numFmtId="0" fontId="1" fillId="0" borderId="0" xfId="15" applyFont="1" applyAlignment="1">
      <alignment horizontal="left"/>
    </xf>
    <xf numFmtId="0" fontId="1" fillId="0" borderId="6" xfId="15" applyFont="1" applyBorder="1"/>
    <xf numFmtId="167" fontId="18" fillId="3" borderId="5" xfId="16" applyNumberFormat="1" applyFont="1" applyFill="1" applyBorder="1" applyAlignment="1">
      <alignment horizontal="center" wrapText="1"/>
    </xf>
    <xf numFmtId="9" fontId="1" fillId="0" borderId="0" xfId="15" applyNumberFormat="1" applyFont="1"/>
    <xf numFmtId="0" fontId="14" fillId="0" borderId="3" xfId="15" applyFont="1" applyBorder="1"/>
    <xf numFmtId="0" fontId="1" fillId="0" borderId="3" xfId="15" applyFont="1" applyBorder="1"/>
    <xf numFmtId="166" fontId="14" fillId="0" borderId="0" xfId="15" applyNumberFormat="1" applyFont="1"/>
    <xf numFmtId="165" fontId="18" fillId="3" borderId="2" xfId="15" applyNumberFormat="1" applyFont="1" applyFill="1" applyBorder="1" applyAlignment="1">
      <alignment horizontal="center"/>
    </xf>
    <xf numFmtId="164" fontId="16" fillId="0" borderId="0" xfId="15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1" fillId="4" borderId="0" xfId="15" applyFont="1" applyFill="1"/>
    <xf numFmtId="0" fontId="13" fillId="4" borderId="4" xfId="15" applyFont="1" applyFill="1" applyBorder="1" applyAlignment="1">
      <alignment horizontal="centerContinuous"/>
    </xf>
    <xf numFmtId="0" fontId="15" fillId="4" borderId="4" xfId="15" applyFont="1" applyFill="1" applyBorder="1" applyAlignment="1">
      <alignment horizontal="centerContinuous"/>
    </xf>
    <xf numFmtId="0" fontId="21" fillId="4" borderId="1" xfId="15" applyFont="1" applyFill="1" applyBorder="1" applyAlignment="1">
      <alignment horizontal="center"/>
    </xf>
    <xf numFmtId="164" fontId="13" fillId="4" borderId="1" xfId="15" applyNumberFormat="1" applyFont="1" applyFill="1" applyBorder="1" applyAlignment="1">
      <alignment horizontal="center"/>
    </xf>
    <xf numFmtId="0" fontId="19" fillId="0" borderId="0" xfId="15" applyFont="1" applyAlignment="1">
      <alignment horizontal="center"/>
    </xf>
    <xf numFmtId="44" fontId="14" fillId="0" borderId="0" xfId="14" applyNumberFormat="1" applyFont="1"/>
    <xf numFmtId="44" fontId="1" fillId="0" borderId="0" xfId="14" applyNumberFormat="1" applyFont="1"/>
    <xf numFmtId="175" fontId="14" fillId="0" borderId="0" xfId="14" applyNumberFormat="1" applyFont="1"/>
    <xf numFmtId="175" fontId="1" fillId="0" borderId="0" xfId="14" applyNumberFormat="1" applyFont="1"/>
    <xf numFmtId="175" fontId="1" fillId="0" borderId="0" xfId="15" applyNumberFormat="1" applyFont="1"/>
    <xf numFmtId="175" fontId="16" fillId="0" borderId="0" xfId="14" applyNumberFormat="1" applyFont="1"/>
    <xf numFmtId="0" fontId="19" fillId="0" borderId="1" xfId="15" applyFont="1" applyBorder="1" applyAlignment="1">
      <alignment horizontal="center"/>
    </xf>
    <xf numFmtId="175" fontId="16" fillId="0" borderId="1" xfId="14" applyNumberFormat="1" applyFont="1" applyBorder="1"/>
    <xf numFmtId="0" fontId="14" fillId="5" borderId="1" xfId="14" applyFont="1" applyFill="1" applyBorder="1"/>
    <xf numFmtId="0" fontId="23" fillId="5" borderId="1" xfId="14" applyFont="1" applyFill="1" applyBorder="1"/>
    <xf numFmtId="0" fontId="23" fillId="0" borderId="0" xfId="14" applyFont="1"/>
    <xf numFmtId="0" fontId="19" fillId="0" borderId="0" xfId="14" applyFont="1" applyAlignment="1">
      <alignment horizontal="center"/>
    </xf>
    <xf numFmtId="166" fontId="23" fillId="0" borderId="0" xfId="14" applyNumberFormat="1" applyFont="1"/>
    <xf numFmtId="164" fontId="1" fillId="0" borderId="0" xfId="15" applyNumberFormat="1" applyFont="1"/>
    <xf numFmtId="167" fontId="23" fillId="0" borderId="0" xfId="14" applyNumberFormat="1" applyFont="1"/>
    <xf numFmtId="0" fontId="23" fillId="0" borderId="1" xfId="14" applyFont="1" applyBorder="1" applyAlignment="1">
      <alignment horizontal="left" indent="1"/>
    </xf>
    <xf numFmtId="0" fontId="1" fillId="0" borderId="1" xfId="15" applyFont="1" applyBorder="1"/>
    <xf numFmtId="0" fontId="19" fillId="0" borderId="1" xfId="14" applyFont="1" applyBorder="1" applyAlignment="1">
      <alignment horizontal="center"/>
    </xf>
    <xf numFmtId="0" fontId="14" fillId="0" borderId="0" xfId="14" applyFont="1"/>
    <xf numFmtId="167" fontId="14" fillId="0" borderId="3" xfId="14" applyNumberFormat="1" applyFont="1" applyBorder="1"/>
    <xf numFmtId="0" fontId="23" fillId="0" borderId="0" xfId="14" applyFont="1" applyAlignment="1">
      <alignment horizontal="left" indent="1"/>
    </xf>
    <xf numFmtId="0" fontId="14" fillId="6" borderId="7" xfId="15" applyFont="1" applyFill="1" applyBorder="1"/>
    <xf numFmtId="0" fontId="1" fillId="6" borderId="8" xfId="15" applyFont="1" applyFill="1" applyBorder="1"/>
    <xf numFmtId="0" fontId="19" fillId="6" borderId="8" xfId="14" applyFont="1" applyFill="1" applyBorder="1" applyAlignment="1">
      <alignment horizontal="center"/>
    </xf>
    <xf numFmtId="164" fontId="22" fillId="6" borderId="8" xfId="14" applyNumberFormat="1" applyFont="1" applyFill="1" applyBorder="1"/>
    <xf numFmtId="164" fontId="22" fillId="6" borderId="9" xfId="14" applyNumberFormat="1" applyFont="1" applyFill="1" applyBorder="1"/>
    <xf numFmtId="167" fontId="1" fillId="0" borderId="0" xfId="15" applyNumberFormat="1" applyFont="1"/>
    <xf numFmtId="0" fontId="1" fillId="0" borderId="0" xfId="0" applyFont="1" applyAlignment="1">
      <alignment horizontal="left" indent="1"/>
    </xf>
    <xf numFmtId="167" fontId="18" fillId="0" borderId="0" xfId="15" applyNumberFormat="1" applyFont="1"/>
    <xf numFmtId="0" fontId="14" fillId="0" borderId="3" xfId="14" applyFont="1" applyBorder="1"/>
    <xf numFmtId="167" fontId="14" fillId="0" borderId="3" xfId="15" applyNumberFormat="1" applyFont="1" applyBorder="1"/>
    <xf numFmtId="167" fontId="14" fillId="0" borderId="0" xfId="15" applyNumberFormat="1" applyFont="1"/>
    <xf numFmtId="169" fontId="23" fillId="0" borderId="0" xfId="14" applyNumberFormat="1" applyFont="1"/>
    <xf numFmtId="0" fontId="24" fillId="6" borderId="10" xfId="14" applyFont="1" applyFill="1" applyBorder="1"/>
    <xf numFmtId="0" fontId="1" fillId="6" borderId="3" xfId="15" applyFont="1" applyFill="1" applyBorder="1"/>
    <xf numFmtId="0" fontId="19" fillId="6" borderId="3" xfId="15" applyFont="1" applyFill="1" applyBorder="1" applyAlignment="1">
      <alignment horizontal="left" indent="1"/>
    </xf>
    <xf numFmtId="176" fontId="14" fillId="6" borderId="3" xfId="14" applyNumberFormat="1" applyFont="1" applyFill="1" applyBorder="1"/>
    <xf numFmtId="176" fontId="14" fillId="6" borderId="11" xfId="14" applyNumberFormat="1" applyFont="1" applyFill="1" applyBorder="1"/>
    <xf numFmtId="0" fontId="24" fillId="6" borderId="12" xfId="14" applyFont="1" applyFill="1" applyBorder="1"/>
    <xf numFmtId="0" fontId="1" fillId="6" borderId="0" xfId="15" applyFont="1" applyFill="1"/>
    <xf numFmtId="0" fontId="19" fillId="6" borderId="0" xfId="15" applyFont="1" applyFill="1" applyAlignment="1">
      <alignment horizontal="left" indent="1"/>
    </xf>
    <xf numFmtId="43" fontId="14" fillId="6" borderId="0" xfId="14" applyNumberFormat="1" applyFont="1" applyFill="1"/>
    <xf numFmtId="43" fontId="14" fillId="6" borderId="13" xfId="14" applyNumberFormat="1" applyFont="1" applyFill="1" applyBorder="1"/>
    <xf numFmtId="0" fontId="19" fillId="6" borderId="0" xfId="14" applyFont="1" applyFill="1" applyAlignment="1">
      <alignment horizontal="center"/>
    </xf>
    <xf numFmtId="165" fontId="25" fillId="6" borderId="0" xfId="14" applyNumberFormat="1" applyFont="1" applyFill="1" applyAlignment="1">
      <alignment horizontal="right"/>
    </xf>
    <xf numFmtId="165" fontId="25" fillId="6" borderId="13" xfId="14" applyNumberFormat="1" applyFont="1" applyFill="1" applyBorder="1" applyAlignment="1">
      <alignment horizontal="right"/>
    </xf>
    <xf numFmtId="0" fontId="1" fillId="6" borderId="12" xfId="15" applyFont="1" applyFill="1" applyBorder="1"/>
    <xf numFmtId="0" fontId="1" fillId="6" borderId="13" xfId="15" applyFont="1" applyFill="1" applyBorder="1"/>
    <xf numFmtId="0" fontId="14" fillId="6" borderId="12" xfId="15" applyFont="1" applyFill="1" applyBorder="1"/>
    <xf numFmtId="177" fontId="25" fillId="6" borderId="0" xfId="14" applyNumberFormat="1" applyFont="1" applyFill="1" applyAlignment="1">
      <alignment horizontal="right"/>
    </xf>
    <xf numFmtId="177" fontId="25" fillId="6" borderId="13" xfId="14" applyNumberFormat="1" applyFont="1" applyFill="1" applyBorder="1" applyAlignment="1">
      <alignment horizontal="right"/>
    </xf>
    <xf numFmtId="0" fontId="14" fillId="6" borderId="14" xfId="15" applyFont="1" applyFill="1" applyBorder="1"/>
    <xf numFmtId="0" fontId="1" fillId="6" borderId="1" xfId="15" applyFont="1" applyFill="1" applyBorder="1"/>
    <xf numFmtId="0" fontId="19" fillId="6" borderId="1" xfId="14" applyFont="1" applyFill="1" applyBorder="1" applyAlignment="1">
      <alignment horizontal="center"/>
    </xf>
    <xf numFmtId="177" fontId="25" fillId="6" borderId="1" xfId="14" applyNumberFormat="1" applyFont="1" applyFill="1" applyBorder="1" applyAlignment="1">
      <alignment horizontal="right"/>
    </xf>
    <xf numFmtId="177" fontId="25" fillId="6" borderId="15" xfId="14" applyNumberFormat="1" applyFont="1" applyFill="1" applyBorder="1" applyAlignment="1">
      <alignment horizontal="right"/>
    </xf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2:N91"/>
  <sheetViews>
    <sheetView showGridLines="0" tabSelected="1" zoomScaleNormal="100" workbookViewId="0">
      <selection activeCell="F2" sqref="F2"/>
    </sheetView>
  </sheetViews>
  <sheetFormatPr baseColWidth="10" defaultColWidth="9.1640625" defaultRowHeight="16" x14ac:dyDescent="0.2"/>
  <cols>
    <col min="1" max="2" width="2.6640625" style="9" customWidth="1"/>
    <col min="3" max="5" width="15.6640625" style="9" customWidth="1"/>
    <col min="6" max="12" width="13.6640625" style="9" customWidth="1"/>
    <col min="13" max="13" width="2.6640625" style="9" customWidth="1"/>
    <col min="14" max="16384" width="9.1640625" style="9"/>
  </cols>
  <sheetData>
    <row r="2" spans="2:12" ht="19" x14ac:dyDescent="0.25">
      <c r="B2" s="5" t="s">
        <v>38</v>
      </c>
    </row>
    <row r="3" spans="2:12" x14ac:dyDescent="0.2">
      <c r="B3" s="1" t="s">
        <v>75</v>
      </c>
    </row>
    <row r="5" spans="2:12" x14ac:dyDescent="0.2">
      <c r="B5" s="10" t="s">
        <v>39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2" x14ac:dyDescent="0.2">
      <c r="J6" s="12"/>
    </row>
    <row r="7" spans="2:12" x14ac:dyDescent="0.2">
      <c r="C7" s="9" t="s">
        <v>59</v>
      </c>
      <c r="F7" s="6">
        <v>442.47</v>
      </c>
      <c r="H7" s="13" t="s">
        <v>24</v>
      </c>
      <c r="I7" s="14"/>
      <c r="J7" s="14"/>
      <c r="K7" s="15" t="s">
        <v>4</v>
      </c>
    </row>
    <row r="8" spans="2:12" x14ac:dyDescent="0.2">
      <c r="C8" s="9" t="s">
        <v>60</v>
      </c>
      <c r="F8" s="4">
        <v>62.644037213099189</v>
      </c>
      <c r="H8" s="16" t="s">
        <v>41</v>
      </c>
      <c r="K8" s="17">
        <v>0.2</v>
      </c>
    </row>
    <row r="9" spans="2:12" x14ac:dyDescent="0.2">
      <c r="C9" s="9" t="s">
        <v>61</v>
      </c>
      <c r="F9" s="18">
        <f>+Share_Price*Diluted_Shares</f>
      </c>
      <c r="H9" s="16" t="s">
        <v>42</v>
      </c>
      <c r="K9" s="19">
        <v>0.1</v>
      </c>
    </row>
    <row r="10" spans="2:12" x14ac:dyDescent="0.2">
      <c r="H10" s="16" t="s">
        <v>43</v>
      </c>
      <c r="K10" s="19">
        <v>0.1</v>
      </c>
    </row>
    <row r="11" spans="2:12" x14ac:dyDescent="0.2">
      <c r="C11" s="20" t="s">
        <v>40</v>
      </c>
      <c r="F11" s="2">
        <v>1500</v>
      </c>
      <c r="H11" s="16" t="s">
        <v>44</v>
      </c>
      <c r="J11" s="21"/>
      <c r="K11" s="22">
        <v>0.1</v>
      </c>
    </row>
    <row r="12" spans="2:12" x14ac:dyDescent="0.2">
      <c r="F12" s="23"/>
      <c r="H12" s="24" t="s">
        <v>9</v>
      </c>
      <c r="I12" s="25"/>
      <c r="K12" s="26">
        <f>SUM(K8:K11)</f>
      </c>
    </row>
    <row r="13" spans="2:12" x14ac:dyDescent="0.2">
      <c r="C13" s="9" t="s">
        <v>3</v>
      </c>
      <c r="F13" s="7">
        <v>2.2499999999999999E-2</v>
      </c>
    </row>
    <row r="14" spans="2:12" x14ac:dyDescent="0.2">
      <c r="H14" s="9" t="s">
        <v>73</v>
      </c>
      <c r="K14" s="6">
        <v>5.3112066201738157</v>
      </c>
    </row>
    <row r="15" spans="2:12" x14ac:dyDescent="0.2">
      <c r="C15" s="9" t="s">
        <v>5</v>
      </c>
      <c r="F15" s="27">
        <v>0.9</v>
      </c>
    </row>
    <row r="16" spans="2:12" x14ac:dyDescent="0.2">
      <c r="C16" s="9" t="s">
        <v>6</v>
      </c>
      <c r="F16" s="28">
        <f>1-F15</f>
      </c>
      <c r="H16" s="29" t="s">
        <v>22</v>
      </c>
      <c r="K16" s="2">
        <v>6829.1301882019725</v>
      </c>
    </row>
    <row r="17" spans="2:12" x14ac:dyDescent="0.2">
      <c r="H17" s="29" t="s">
        <v>23</v>
      </c>
      <c r="K17" s="3">
        <v>678.26096848946554</v>
      </c>
    </row>
    <row r="18" spans="2:12" x14ac:dyDescent="0.2">
      <c r="C18" s="9" t="s">
        <v>7</v>
      </c>
      <c r="F18" s="27">
        <v>0.15</v>
      </c>
      <c r="H18" s="29" t="s">
        <v>21</v>
      </c>
      <c r="K18" s="3">
        <v>327.69613725810427</v>
      </c>
    </row>
    <row r="19" spans="2:12" x14ac:dyDescent="0.2">
      <c r="C19" s="9" t="s">
        <v>8</v>
      </c>
      <c r="F19" s="27">
        <v>0.9</v>
      </c>
    </row>
    <row r="21" spans="2:12" x14ac:dyDescent="0.2">
      <c r="B21" s="30"/>
      <c r="C21" s="30"/>
      <c r="D21" s="30"/>
      <c r="E21" s="30"/>
      <c r="F21" s="30"/>
      <c r="G21" s="31" t="s">
        <v>45</v>
      </c>
      <c r="H21" s="32"/>
      <c r="I21" s="32"/>
      <c r="J21" s="32"/>
      <c r="K21" s="32"/>
      <c r="L21" s="32"/>
    </row>
    <row r="22" spans="2:12" x14ac:dyDescent="0.2">
      <c r="B22" s="10" t="s">
        <v>46</v>
      </c>
      <c r="C22" s="10"/>
      <c r="D22" s="33"/>
      <c r="E22" s="33"/>
      <c r="F22" s="33" t="s">
        <v>47</v>
      </c>
      <c r="G22" s="34">
        <v>-0.25</v>
      </c>
      <c r="H22" s="34">
        <f>+G22+5%</f>
      </c>
      <c r="I22" s="34">
        <f t="shared" ref="I22:L22" si="0">+H22+5%</f>
      </c>
      <c r="J22" s="34">
        <f t="shared" si="0"/>
      </c>
      <c r="K22" s="34">
        <f t="shared" si="0"/>
      </c>
      <c r="L22" s="34">
        <f t="shared" si="0"/>
      </c>
    </row>
    <row r="24" spans="2:12" x14ac:dyDescent="0.2">
      <c r="C24" s="8" t="s">
        <v>48</v>
      </c>
      <c r="F24" s="35" t="s">
        <v>15</v>
      </c>
      <c r="G24" s="36">
        <f t="shared" ref="G24:L24" si="1">+Share_Price*(1+G22)</f>
      </c>
      <c r="H24" s="36">
        <f t="shared" si="1"/>
      </c>
      <c r="I24" s="36">
        <f t="shared" si="1"/>
      </c>
      <c r="J24" s="36">
        <f t="shared" si="1"/>
      </c>
      <c r="K24" s="36">
        <f t="shared" si="1"/>
      </c>
      <c r="L24" s="36">
        <f t="shared" si="1"/>
      </c>
    </row>
    <row r="25" spans="2:12" x14ac:dyDescent="0.2">
      <c r="F25" s="35"/>
      <c r="G25" s="37"/>
      <c r="H25" s="37"/>
      <c r="I25" s="37"/>
      <c r="J25" s="37"/>
      <c r="K25" s="37"/>
      <c r="L25" s="37"/>
    </row>
    <row r="26" spans="2:12" x14ac:dyDescent="0.2">
      <c r="C26" s="8" t="s">
        <v>49</v>
      </c>
      <c r="F26" s="35" t="s">
        <v>1</v>
      </c>
      <c r="G26" s="38">
        <f t="shared" ref="G26:L26" si="2">+FO_Offering_Size/G24</f>
      </c>
      <c r="H26" s="38">
        <f t="shared" si="2"/>
      </c>
      <c r="I26" s="38">
        <f t="shared" si="2"/>
      </c>
      <c r="J26" s="38">
        <f t="shared" si="2"/>
      </c>
      <c r="K26" s="38">
        <f t="shared" si="2"/>
      </c>
      <c r="L26" s="38">
        <f t="shared" si="2"/>
      </c>
    </row>
    <row r="27" spans="2:12" x14ac:dyDescent="0.2">
      <c r="C27" s="16" t="s">
        <v>25</v>
      </c>
      <c r="F27" s="35" t="s">
        <v>1</v>
      </c>
      <c r="G27" s="39">
        <f t="shared" ref="G27:L27" si="3">+G26*FO_Primary_Pct</f>
      </c>
      <c r="H27" s="39">
        <f t="shared" si="3"/>
      </c>
      <c r="I27" s="39">
        <f t="shared" si="3"/>
      </c>
      <c r="J27" s="39">
        <f t="shared" si="3"/>
      </c>
      <c r="K27" s="39">
        <f t="shared" si="3"/>
      </c>
      <c r="L27" s="39">
        <f t="shared" si="3"/>
      </c>
    </row>
    <row r="28" spans="2:12" x14ac:dyDescent="0.2">
      <c r="C28" s="16" t="s">
        <v>26</v>
      </c>
      <c r="F28" s="35" t="s">
        <v>1</v>
      </c>
      <c r="G28" s="39">
        <f>+G26-G27</f>
      </c>
      <c r="H28" s="39">
        <f t="shared" ref="H28:L28" si="4">+H26-H27</f>
      </c>
      <c r="I28" s="39">
        <f t="shared" si="4"/>
      </c>
      <c r="J28" s="39">
        <f t="shared" si="4"/>
      </c>
      <c r="K28" s="39">
        <f t="shared" si="4"/>
      </c>
      <c r="L28" s="39">
        <f t="shared" si="4"/>
      </c>
    </row>
    <row r="29" spans="2:12" x14ac:dyDescent="0.2">
      <c r="G29" s="40"/>
      <c r="H29" s="40"/>
      <c r="I29" s="40"/>
      <c r="J29" s="40"/>
      <c r="K29" s="40"/>
      <c r="L29" s="40"/>
    </row>
    <row r="30" spans="2:12" x14ac:dyDescent="0.2">
      <c r="C30" s="8" t="s">
        <v>50</v>
      </c>
      <c r="F30" s="35" t="s">
        <v>1</v>
      </c>
      <c r="G30" s="38">
        <f t="shared" ref="G30:L30" si="5">+G26*FO_Greenshoe_Pct</f>
      </c>
      <c r="H30" s="38">
        <f t="shared" si="5"/>
      </c>
      <c r="I30" s="38">
        <f t="shared" si="5"/>
      </c>
      <c r="J30" s="38">
        <f t="shared" si="5"/>
      </c>
      <c r="K30" s="38">
        <f t="shared" si="5"/>
      </c>
      <c r="L30" s="38">
        <f t="shared" si="5"/>
      </c>
    </row>
    <row r="31" spans="2:12" x14ac:dyDescent="0.2">
      <c r="C31" s="16" t="s">
        <v>25</v>
      </c>
      <c r="F31" s="35" t="s">
        <v>1</v>
      </c>
      <c r="G31" s="39">
        <f t="shared" ref="G31:L31" si="6">+G30*FO_Greenshoe_Primary_Pct</f>
      </c>
      <c r="H31" s="39">
        <f t="shared" si="6"/>
      </c>
      <c r="I31" s="39">
        <f t="shared" si="6"/>
      </c>
      <c r="J31" s="39">
        <f t="shared" si="6"/>
      </c>
      <c r="K31" s="39">
        <f t="shared" si="6"/>
      </c>
      <c r="L31" s="39">
        <f t="shared" si="6"/>
      </c>
    </row>
    <row r="32" spans="2:12" x14ac:dyDescent="0.2">
      <c r="C32" s="16" t="s">
        <v>26</v>
      </c>
      <c r="F32" s="35" t="s">
        <v>1</v>
      </c>
      <c r="G32" s="39">
        <f>+G30-G31</f>
      </c>
      <c r="H32" s="39">
        <f t="shared" ref="H32:L32" si="7">+H30-H31</f>
      </c>
      <c r="I32" s="39">
        <f t="shared" si="7"/>
      </c>
      <c r="J32" s="39">
        <f t="shared" si="7"/>
      </c>
      <c r="K32" s="39">
        <f t="shared" si="7"/>
      </c>
      <c r="L32" s="39">
        <f t="shared" si="7"/>
      </c>
    </row>
    <row r="33" spans="3:12" x14ac:dyDescent="0.2">
      <c r="G33" s="40"/>
      <c r="H33" s="40"/>
      <c r="I33" s="40"/>
      <c r="J33" s="40"/>
      <c r="K33" s="40"/>
      <c r="L33" s="40"/>
    </row>
    <row r="34" spans="3:12" x14ac:dyDescent="0.2">
      <c r="C34" s="9" t="s">
        <v>51</v>
      </c>
      <c r="F34" s="35" t="s">
        <v>1</v>
      </c>
      <c r="G34" s="41">
        <f t="shared" ref="G34:L34" si="8">+Diluted_Shares</f>
      </c>
      <c r="H34" s="41">
        <f t="shared" si="8"/>
      </c>
      <c r="I34" s="41">
        <f t="shared" si="8"/>
      </c>
      <c r="J34" s="41">
        <f t="shared" si="8"/>
      </c>
      <c r="K34" s="41">
        <f t="shared" si="8"/>
      </c>
      <c r="L34" s="41">
        <f t="shared" si="8"/>
      </c>
    </row>
    <row r="35" spans="3:12" x14ac:dyDescent="0.2">
      <c r="C35" s="16" t="s">
        <v>37</v>
      </c>
      <c r="F35" s="42" t="s">
        <v>1</v>
      </c>
      <c r="G35" s="43">
        <f>+G27+G31</f>
      </c>
      <c r="H35" s="43">
        <f t="shared" ref="H35:L35" si="9">+H27+H31</f>
      </c>
      <c r="I35" s="43">
        <f t="shared" si="9"/>
      </c>
      <c r="J35" s="43">
        <f t="shared" si="9"/>
      </c>
      <c r="K35" s="43">
        <f t="shared" si="9"/>
      </c>
      <c r="L35" s="43">
        <f t="shared" si="9"/>
      </c>
    </row>
    <row r="36" spans="3:12" x14ac:dyDescent="0.2">
      <c r="C36" s="24" t="s">
        <v>52</v>
      </c>
      <c r="D36" s="25"/>
      <c r="E36" s="25"/>
      <c r="F36" s="35" t="s">
        <v>1</v>
      </c>
      <c r="G36" s="38">
        <f>SUM(G34:G35)</f>
      </c>
      <c r="H36" s="38">
        <f t="shared" ref="H36:L36" si="10">SUM(H34:H35)</f>
      </c>
      <c r="I36" s="38">
        <f t="shared" si="10"/>
      </c>
      <c r="J36" s="38">
        <f t="shared" si="10"/>
      </c>
      <c r="K36" s="38">
        <f t="shared" si="10"/>
      </c>
      <c r="L36" s="38">
        <f t="shared" si="10"/>
      </c>
    </row>
    <row r="37" spans="3:12" x14ac:dyDescent="0.2">
      <c r="G37" s="23"/>
      <c r="H37" s="23"/>
      <c r="I37" s="23"/>
      <c r="J37" s="23"/>
      <c r="K37" s="23"/>
      <c r="L37" s="23"/>
    </row>
    <row r="38" spans="3:12" x14ac:dyDescent="0.2">
      <c r="C38" s="44" t="s">
        <v>27</v>
      </c>
      <c r="D38" s="45"/>
      <c r="E38" s="45"/>
      <c r="F38" s="45"/>
      <c r="G38" s="45"/>
      <c r="H38" s="45"/>
      <c r="I38" s="45"/>
      <c r="J38" s="45"/>
      <c r="K38" s="45"/>
      <c r="L38" s="45"/>
    </row>
    <row r="40" spans="3:12" x14ac:dyDescent="0.2">
      <c r="C40" s="46" t="s">
        <v>11</v>
      </c>
      <c r="F40" s="47" t="s">
        <v>14</v>
      </c>
      <c r="G40" s="48">
        <f>+G36*G24</f>
      </c>
      <c r="H40" s="48">
        <f t="shared" ref="H40:L40" si="11">+H36*H24</f>
      </c>
      <c r="I40" s="48">
        <f t="shared" si="11"/>
      </c>
      <c r="J40" s="48">
        <f t="shared" si="11"/>
      </c>
      <c r="K40" s="48">
        <f t="shared" si="11"/>
      </c>
      <c r="L40" s="48">
        <f t="shared" si="11"/>
      </c>
    </row>
    <row r="42" spans="3:12" x14ac:dyDescent="0.2">
      <c r="C42" s="46" t="s">
        <v>12</v>
      </c>
      <c r="F42" s="47" t="s">
        <v>0</v>
      </c>
      <c r="G42" s="49">
        <f>+G43/G45</f>
      </c>
      <c r="H42" s="49">
        <f t="shared" ref="H42:L42" si="12">+H43/H45</f>
      </c>
      <c r="I42" s="49">
        <f t="shared" si="12"/>
      </c>
      <c r="J42" s="49">
        <f t="shared" si="12"/>
      </c>
      <c r="K42" s="49">
        <f t="shared" si="12"/>
      </c>
      <c r="L42" s="49">
        <f t="shared" si="12"/>
      </c>
    </row>
    <row r="43" spans="3:12" x14ac:dyDescent="0.2">
      <c r="C43" s="46" t="s">
        <v>13</v>
      </c>
      <c r="F43" s="47" t="s">
        <v>14</v>
      </c>
      <c r="G43" s="50">
        <f>+G45-G40</f>
      </c>
      <c r="H43" s="50">
        <f t="shared" ref="H43:L43" si="13">+H45-H40</f>
      </c>
      <c r="I43" s="50">
        <f t="shared" si="13"/>
      </c>
      <c r="J43" s="50">
        <f t="shared" si="13"/>
      </c>
      <c r="K43" s="50">
        <f t="shared" si="13"/>
      </c>
      <c r="L43" s="50">
        <f t="shared" si="13"/>
      </c>
    </row>
    <row r="44" spans="3:12" x14ac:dyDescent="0.2">
      <c r="C44" s="46"/>
      <c r="F44" s="46"/>
      <c r="G44" s="49"/>
      <c r="H44" s="49"/>
      <c r="I44" s="49"/>
      <c r="J44" s="49"/>
      <c r="K44" s="49"/>
      <c r="L44" s="49"/>
    </row>
    <row r="45" spans="3:12" x14ac:dyDescent="0.2">
      <c r="C45" s="46" t="s">
        <v>10</v>
      </c>
      <c r="F45" s="47" t="s">
        <v>14</v>
      </c>
      <c r="G45" s="50">
        <f t="shared" ref="G45:L45" si="14">+G36*Share_Price</f>
      </c>
      <c r="H45" s="50">
        <f t="shared" si="14"/>
      </c>
      <c r="I45" s="50">
        <f t="shared" si="14"/>
      </c>
      <c r="J45" s="50">
        <f t="shared" si="14"/>
      </c>
      <c r="K45" s="50">
        <f t="shared" si="14"/>
      </c>
      <c r="L45" s="50">
        <f t="shared" si="14"/>
      </c>
    </row>
    <row r="47" spans="3:12" x14ac:dyDescent="0.2">
      <c r="C47" s="44" t="s">
        <v>16</v>
      </c>
      <c r="D47" s="45"/>
      <c r="E47" s="45"/>
      <c r="F47" s="45"/>
      <c r="G47" s="45"/>
      <c r="H47" s="45"/>
      <c r="I47" s="45"/>
      <c r="J47" s="45"/>
      <c r="K47" s="45"/>
      <c r="L47" s="45"/>
    </row>
    <row r="49" spans="3:14" x14ac:dyDescent="0.2">
      <c r="C49" s="46" t="s">
        <v>20</v>
      </c>
      <c r="F49" s="47" t="s">
        <v>14</v>
      </c>
      <c r="G49" s="48">
        <f>+G26*G24</f>
      </c>
      <c r="H49" s="48">
        <f t="shared" ref="H49:L49" si="15">+H26*H24</f>
      </c>
      <c r="I49" s="48">
        <f t="shared" si="15"/>
      </c>
      <c r="J49" s="48">
        <f t="shared" si="15"/>
      </c>
      <c r="K49" s="48">
        <f t="shared" si="15"/>
      </c>
      <c r="L49" s="48">
        <f t="shared" si="15"/>
      </c>
    </row>
    <row r="50" spans="3:14" x14ac:dyDescent="0.2">
      <c r="C50" s="51" t="s">
        <v>28</v>
      </c>
      <c r="D50" s="52"/>
      <c r="E50" s="52"/>
      <c r="F50" s="53" t="s">
        <v>14</v>
      </c>
      <c r="G50" s="50">
        <f>+G30*G24</f>
      </c>
      <c r="H50" s="50">
        <f t="shared" ref="H50:L50" si="16">+H30*H24</f>
      </c>
      <c r="I50" s="50">
        <f t="shared" si="16"/>
      </c>
      <c r="J50" s="50">
        <f t="shared" si="16"/>
      </c>
      <c r="K50" s="50">
        <f t="shared" si="16"/>
      </c>
      <c r="L50" s="50">
        <f t="shared" si="16"/>
      </c>
    </row>
    <row r="51" spans="3:14" x14ac:dyDescent="0.2">
      <c r="C51" s="54" t="s">
        <v>17</v>
      </c>
      <c r="F51" s="47" t="s">
        <v>14</v>
      </c>
      <c r="G51" s="55">
        <f>SUM(G49:G50)</f>
      </c>
      <c r="H51" s="55">
        <f t="shared" ref="H51:L51" si="17">SUM(H49:H50)</f>
      </c>
      <c r="I51" s="55">
        <f t="shared" si="17"/>
      </c>
      <c r="J51" s="55">
        <f t="shared" si="17"/>
      </c>
      <c r="K51" s="55">
        <f t="shared" si="17"/>
      </c>
      <c r="L51" s="55">
        <f t="shared" si="17"/>
      </c>
    </row>
    <row r="53" spans="3:14" x14ac:dyDescent="0.2">
      <c r="C53" s="46" t="s">
        <v>18</v>
      </c>
      <c r="F53" s="47" t="s">
        <v>14</v>
      </c>
      <c r="G53" s="50">
        <f>+G35*G24</f>
      </c>
      <c r="H53" s="50">
        <f t="shared" ref="H53:L53" si="18">+H35*H24</f>
      </c>
      <c r="I53" s="50">
        <f t="shared" si="18"/>
      </c>
      <c r="J53" s="50">
        <f t="shared" si="18"/>
      </c>
      <c r="K53" s="50">
        <f t="shared" si="18"/>
      </c>
      <c r="L53" s="50">
        <f t="shared" si="18"/>
      </c>
    </row>
    <row r="54" spans="3:14" x14ac:dyDescent="0.2">
      <c r="C54" s="56" t="s">
        <v>29</v>
      </c>
      <c r="F54" s="47" t="s">
        <v>14</v>
      </c>
      <c r="G54" s="50">
        <f t="shared" ref="G54:L54" si="19">-G35*G24*FO_Spread</f>
      </c>
      <c r="H54" s="50">
        <f t="shared" si="19"/>
      </c>
      <c r="I54" s="50">
        <f t="shared" si="19"/>
      </c>
      <c r="J54" s="50">
        <f t="shared" si="19"/>
      </c>
      <c r="K54" s="50">
        <f t="shared" si="19"/>
      </c>
      <c r="L54" s="50">
        <f t="shared" si="19"/>
      </c>
    </row>
    <row r="55" spans="3:14" x14ac:dyDescent="0.2">
      <c r="C55" s="51" t="s">
        <v>30</v>
      </c>
      <c r="D55" s="52"/>
      <c r="E55" s="52"/>
      <c r="F55" s="53" t="s">
        <v>14</v>
      </c>
      <c r="G55" s="50">
        <f t="shared" ref="G55:L55" si="20">-$K$12</f>
      </c>
      <c r="H55" s="50">
        <f t="shared" si="20"/>
      </c>
      <c r="I55" s="50">
        <f t="shared" si="20"/>
      </c>
      <c r="J55" s="50">
        <f t="shared" si="20"/>
      </c>
      <c r="K55" s="50">
        <f t="shared" si="20"/>
      </c>
      <c r="L55" s="50">
        <f t="shared" si="20"/>
      </c>
    </row>
    <row r="56" spans="3:14" x14ac:dyDescent="0.2">
      <c r="C56" s="54" t="s">
        <v>53</v>
      </c>
      <c r="F56" s="47" t="s">
        <v>14</v>
      </c>
      <c r="G56" s="55">
        <f>SUM(G53:G55)</f>
      </c>
      <c r="H56" s="55">
        <f t="shared" ref="H56:L56" si="21">SUM(H53:H55)</f>
      </c>
      <c r="I56" s="55">
        <f t="shared" si="21"/>
      </c>
      <c r="J56" s="55">
        <f t="shared" si="21"/>
      </c>
      <c r="K56" s="55">
        <f t="shared" si="21"/>
      </c>
      <c r="L56" s="55">
        <f t="shared" si="21"/>
      </c>
    </row>
    <row r="58" spans="3:14" x14ac:dyDescent="0.2">
      <c r="C58" s="57" t="s">
        <v>54</v>
      </c>
      <c r="D58" s="58"/>
      <c r="E58" s="58"/>
      <c r="F58" s="59" t="s">
        <v>0</v>
      </c>
      <c r="G58" s="60">
        <f>+G35/G36</f>
      </c>
      <c r="H58" s="60">
        <f t="shared" ref="H58:L58" si="22">+H35/H36</f>
      </c>
      <c r="I58" s="60">
        <f>+I35/I36</f>
      </c>
      <c r="J58" s="60">
        <f t="shared" si="22"/>
      </c>
      <c r="K58" s="60">
        <f t="shared" si="22"/>
      </c>
      <c r="L58" s="61">
        <f t="shared" si="22"/>
      </c>
    </row>
    <row r="60" spans="3:14" x14ac:dyDescent="0.2">
      <c r="C60" s="44" t="s">
        <v>19</v>
      </c>
      <c r="D60" s="45"/>
      <c r="E60" s="45"/>
      <c r="F60" s="45"/>
      <c r="G60" s="45"/>
      <c r="H60" s="45"/>
      <c r="I60" s="45"/>
      <c r="J60" s="45"/>
      <c r="K60" s="45"/>
      <c r="L60" s="45"/>
    </row>
    <row r="62" spans="3:14" x14ac:dyDescent="0.2">
      <c r="C62" s="46" t="s">
        <v>10</v>
      </c>
      <c r="F62" s="47" t="s">
        <v>14</v>
      </c>
      <c r="G62" s="48">
        <f>+G45</f>
      </c>
      <c r="H62" s="48">
        <f t="shared" ref="H62:L62" si="23">+H45</f>
      </c>
      <c r="I62" s="48">
        <f t="shared" si="23"/>
      </c>
      <c r="J62" s="48">
        <f t="shared" si="23"/>
      </c>
      <c r="K62" s="48">
        <f t="shared" si="23"/>
      </c>
      <c r="L62" s="48">
        <f t="shared" si="23"/>
      </c>
    </row>
    <row r="63" spans="3:14" x14ac:dyDescent="0.2">
      <c r="C63" s="56" t="s">
        <v>55</v>
      </c>
      <c r="F63" s="47" t="s">
        <v>14</v>
      </c>
      <c r="G63" s="62">
        <f>-G56</f>
      </c>
      <c r="H63" s="62">
        <f t="shared" ref="H63:L63" si="24">-H56</f>
      </c>
      <c r="I63" s="62">
        <f t="shared" si="24"/>
      </c>
      <c r="J63" s="62">
        <f t="shared" si="24"/>
      </c>
      <c r="K63" s="62">
        <f t="shared" si="24"/>
      </c>
      <c r="L63" s="62">
        <f t="shared" si="24"/>
      </c>
      <c r="N63" s="63"/>
    </row>
    <row r="64" spans="3:14" x14ac:dyDescent="0.2">
      <c r="C64" s="16" t="s">
        <v>31</v>
      </c>
      <c r="F64" s="47" t="s">
        <v>14</v>
      </c>
      <c r="G64" s="64">
        <v>-1608.4960000000001</v>
      </c>
      <c r="H64" s="64">
        <v>-1608.4960000000001</v>
      </c>
      <c r="I64" s="64">
        <v>-1608.4960000000001</v>
      </c>
      <c r="J64" s="64">
        <v>-1608.4960000000001</v>
      </c>
      <c r="K64" s="64">
        <v>-1608.4960000000001</v>
      </c>
      <c r="L64" s="64">
        <v>-1608.4960000000001</v>
      </c>
      <c r="N64" s="63"/>
    </row>
    <row r="65" spans="3:14" x14ac:dyDescent="0.2">
      <c r="C65" s="16" t="s">
        <v>32</v>
      </c>
      <c r="F65" s="47" t="s">
        <v>14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N65" s="63"/>
    </row>
    <row r="66" spans="3:14" x14ac:dyDescent="0.2">
      <c r="C66" s="16" t="s">
        <v>33</v>
      </c>
      <c r="F66" s="47" t="s">
        <v>14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N66" s="63"/>
    </row>
    <row r="67" spans="3:14" x14ac:dyDescent="0.2">
      <c r="C67" s="16" t="s">
        <v>34</v>
      </c>
      <c r="F67" s="47" t="s">
        <v>14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N67" s="63"/>
    </row>
    <row r="68" spans="3:14" x14ac:dyDescent="0.2">
      <c r="C68" s="16" t="s">
        <v>35</v>
      </c>
      <c r="F68" s="47" t="s">
        <v>14</v>
      </c>
      <c r="G68" s="64">
        <v>928.4</v>
      </c>
      <c r="H68" s="64">
        <v>928.4</v>
      </c>
      <c r="I68" s="64">
        <v>928.4</v>
      </c>
      <c r="J68" s="64">
        <v>928.4</v>
      </c>
      <c r="K68" s="64">
        <v>928.4</v>
      </c>
      <c r="L68" s="64">
        <v>928.4</v>
      </c>
      <c r="N68" s="63"/>
    </row>
    <row r="69" spans="3:14" x14ac:dyDescent="0.2">
      <c r="C69" s="16" t="s">
        <v>36</v>
      </c>
      <c r="F69" s="53" t="s">
        <v>14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N69" s="63"/>
    </row>
    <row r="70" spans="3:14" x14ac:dyDescent="0.2">
      <c r="C70" s="65" t="s">
        <v>56</v>
      </c>
      <c r="D70" s="25"/>
      <c r="E70" s="25"/>
      <c r="F70" s="47" t="s">
        <v>14</v>
      </c>
      <c r="G70" s="66">
        <f t="shared" ref="G70:L70" si="25">SUM(G62:G69)</f>
      </c>
      <c r="H70" s="66">
        <f t="shared" si="25"/>
      </c>
      <c r="I70" s="66">
        <f t="shared" si="25"/>
      </c>
      <c r="J70" s="66">
        <f t="shared" si="25"/>
      </c>
      <c r="K70" s="66">
        <f t="shared" si="25"/>
      </c>
      <c r="L70" s="66">
        <f t="shared" si="25"/>
      </c>
    </row>
    <row r="72" spans="3:14" x14ac:dyDescent="0.2">
      <c r="C72" s="46" t="s">
        <v>57</v>
      </c>
      <c r="F72" s="47" t="s">
        <v>14</v>
      </c>
      <c r="G72" s="62">
        <f t="shared" ref="G72:L72" si="26">+G40</f>
      </c>
      <c r="H72" s="62">
        <f t="shared" si="26"/>
      </c>
      <c r="I72" s="62">
        <f t="shared" si="26"/>
      </c>
      <c r="J72" s="62">
        <f t="shared" si="26"/>
      </c>
      <c r="K72" s="62">
        <f t="shared" si="26"/>
      </c>
      <c r="L72" s="62">
        <f t="shared" si="26"/>
      </c>
    </row>
    <row r="73" spans="3:14" x14ac:dyDescent="0.2">
      <c r="C73" s="54" t="s">
        <v>58</v>
      </c>
      <c r="F73" s="47" t="s">
        <v>14</v>
      </c>
      <c r="G73" s="67">
        <f t="shared" ref="G73:L73" si="27">+G72+SUM(G63:G69)</f>
      </c>
      <c r="H73" s="67">
        <f t="shared" si="27"/>
      </c>
      <c r="I73" s="67">
        <f t="shared" si="27"/>
      </c>
      <c r="J73" s="67">
        <f t="shared" si="27"/>
      </c>
      <c r="K73" s="67">
        <f t="shared" si="27"/>
      </c>
      <c r="L73" s="67">
        <f t="shared" si="27"/>
      </c>
    </row>
    <row r="75" spans="3:14" x14ac:dyDescent="0.2">
      <c r="C75" s="46" t="s">
        <v>62</v>
      </c>
      <c r="F75" s="47" t="s">
        <v>2</v>
      </c>
      <c r="G75" s="68">
        <f t="shared" ref="G75:L75" si="28">+G72/FO_Forward_Year_1_Net_Income</f>
      </c>
      <c r="H75" s="68">
        <f t="shared" si="28"/>
      </c>
      <c r="I75" s="68">
        <f t="shared" si="28"/>
      </c>
      <c r="J75" s="68">
        <f t="shared" si="28"/>
      </c>
      <c r="K75" s="68">
        <f t="shared" si="28"/>
      </c>
      <c r="L75" s="68">
        <f t="shared" si="28"/>
      </c>
    </row>
    <row r="76" spans="3:14" x14ac:dyDescent="0.2">
      <c r="C76" s="46" t="s">
        <v>63</v>
      </c>
      <c r="F76" s="47" t="s">
        <v>2</v>
      </c>
      <c r="G76" s="68">
        <f t="shared" ref="G76:L76" si="29">+G62/FO_Forward_Year_1_Net_Income</f>
      </c>
      <c r="H76" s="68">
        <f t="shared" si="29"/>
      </c>
      <c r="I76" s="68">
        <f t="shared" si="29"/>
      </c>
      <c r="J76" s="68">
        <f t="shared" si="29"/>
      </c>
      <c r="K76" s="68">
        <f t="shared" si="29"/>
      </c>
      <c r="L76" s="68">
        <f t="shared" si="29"/>
      </c>
    </row>
    <row r="77" spans="3:14" x14ac:dyDescent="0.2">
      <c r="C77" s="46"/>
      <c r="G77" s="46"/>
      <c r="H77" s="46"/>
      <c r="I77" s="46"/>
      <c r="J77" s="46"/>
    </row>
    <row r="78" spans="3:14" x14ac:dyDescent="0.2">
      <c r="C78" s="46" t="s">
        <v>64</v>
      </c>
      <c r="F78" s="47" t="s">
        <v>2</v>
      </c>
      <c r="G78" s="68">
        <f t="shared" ref="G78:L78" si="30">+G73/FO_Forward_Year_1_EBITDA</f>
      </c>
      <c r="H78" s="68">
        <f t="shared" si="30"/>
      </c>
      <c r="I78" s="68">
        <f t="shared" si="30"/>
      </c>
      <c r="J78" s="68">
        <f t="shared" si="30"/>
      </c>
      <c r="K78" s="68">
        <f t="shared" si="30"/>
      </c>
      <c r="L78" s="68">
        <f t="shared" si="30"/>
      </c>
    </row>
    <row r="79" spans="3:14" x14ac:dyDescent="0.2">
      <c r="C79" s="46" t="s">
        <v>65</v>
      </c>
      <c r="F79" s="47" t="s">
        <v>2</v>
      </c>
      <c r="G79" s="68">
        <f t="shared" ref="G79:L79" si="31">+G70/FO_Forward_Year_1_EBITDA</f>
      </c>
      <c r="H79" s="68">
        <f t="shared" si="31"/>
      </c>
      <c r="I79" s="68">
        <f t="shared" si="31"/>
      </c>
      <c r="J79" s="68">
        <f t="shared" si="31"/>
      </c>
      <c r="K79" s="68">
        <f t="shared" si="31"/>
      </c>
      <c r="L79" s="68">
        <f t="shared" si="31"/>
      </c>
    </row>
    <row r="80" spans="3:14" x14ac:dyDescent="0.2">
      <c r="C80" s="46"/>
      <c r="G80" s="46"/>
      <c r="H80" s="46"/>
      <c r="I80" s="46"/>
      <c r="J80" s="46"/>
    </row>
    <row r="81" spans="3:12" x14ac:dyDescent="0.2">
      <c r="C81" s="46" t="s">
        <v>66</v>
      </c>
      <c r="F81" s="47" t="s">
        <v>2</v>
      </c>
      <c r="G81" s="68">
        <f t="shared" ref="G81:L81" si="32">+G73/FO_Forward_Year_1_Revenue</f>
      </c>
      <c r="H81" s="68">
        <f t="shared" si="32"/>
      </c>
      <c r="I81" s="68">
        <f t="shared" si="32"/>
      </c>
      <c r="J81" s="68">
        <f t="shared" si="32"/>
      </c>
      <c r="K81" s="68">
        <f t="shared" si="32"/>
      </c>
      <c r="L81" s="68">
        <f t="shared" si="32"/>
      </c>
    </row>
    <row r="82" spans="3:12" x14ac:dyDescent="0.2">
      <c r="C82" s="46" t="s">
        <v>67</v>
      </c>
      <c r="F82" s="47" t="s">
        <v>2</v>
      </c>
      <c r="G82" s="68">
        <f t="shared" ref="G82:L82" si="33">+G70/FO_Forward_Year_1_Revenue</f>
      </c>
      <c r="H82" s="68">
        <f t="shared" si="33"/>
      </c>
      <c r="I82" s="68">
        <f t="shared" si="33"/>
      </c>
      <c r="J82" s="68">
        <f t="shared" si="33"/>
      </c>
      <c r="K82" s="68">
        <f t="shared" si="33"/>
      </c>
      <c r="L82" s="68">
        <f t="shared" si="33"/>
      </c>
    </row>
    <row r="84" spans="3:12" x14ac:dyDescent="0.2">
      <c r="C84" s="69" t="s">
        <v>74</v>
      </c>
      <c r="D84" s="70"/>
      <c r="E84" s="70"/>
      <c r="F84" s="71" t="s">
        <v>15</v>
      </c>
      <c r="G84" s="72">
        <f t="shared" ref="G84:L84" si="34">+FO_Forward_Year_1_Net_Income/G36</f>
      </c>
      <c r="H84" s="72">
        <f t="shared" si="34"/>
      </c>
      <c r="I84" s="72">
        <f t="shared" si="34"/>
      </c>
      <c r="J84" s="72">
        <f t="shared" si="34"/>
      </c>
      <c r="K84" s="72">
        <f t="shared" si="34"/>
      </c>
      <c r="L84" s="73">
        <f t="shared" si="34"/>
      </c>
    </row>
    <row r="85" spans="3:12" x14ac:dyDescent="0.2">
      <c r="C85" s="74" t="s">
        <v>68</v>
      </c>
      <c r="D85" s="75"/>
      <c r="E85" s="75"/>
      <c r="F85" s="76" t="s">
        <v>15</v>
      </c>
      <c r="G85" s="77">
        <f t="shared" ref="G85:L85" si="35">+G84-FO_Pre_Transaction_EPS</f>
      </c>
      <c r="H85" s="77">
        <f t="shared" si="35"/>
      </c>
      <c r="I85" s="77">
        <f t="shared" si="35"/>
      </c>
      <c r="J85" s="77">
        <f t="shared" si="35"/>
      </c>
      <c r="K85" s="77">
        <f t="shared" si="35"/>
      </c>
      <c r="L85" s="78">
        <f t="shared" si="35"/>
      </c>
    </row>
    <row r="86" spans="3:12" x14ac:dyDescent="0.2">
      <c r="C86" s="74" t="s">
        <v>69</v>
      </c>
      <c r="D86" s="75"/>
      <c r="E86" s="75"/>
      <c r="F86" s="79" t="s">
        <v>0</v>
      </c>
      <c r="G86" s="80">
        <f t="shared" ref="G86:L86" si="36">+G85/FO_Pre_Transaction_EPS</f>
      </c>
      <c r="H86" s="80">
        <f t="shared" si="36"/>
      </c>
      <c r="I86" s="80">
        <f t="shared" si="36"/>
      </c>
      <c r="J86" s="80">
        <f t="shared" si="36"/>
      </c>
      <c r="K86" s="80">
        <f t="shared" si="36"/>
      </c>
      <c r="L86" s="81">
        <f t="shared" si="36"/>
      </c>
    </row>
    <row r="87" spans="3:12" x14ac:dyDescent="0.2">
      <c r="C87" s="82"/>
      <c r="D87" s="75"/>
      <c r="E87" s="75"/>
      <c r="F87" s="75"/>
      <c r="G87" s="75"/>
      <c r="H87" s="75"/>
      <c r="I87" s="75"/>
      <c r="J87" s="75"/>
      <c r="K87" s="75"/>
      <c r="L87" s="83"/>
    </row>
    <row r="88" spans="3:12" x14ac:dyDescent="0.2">
      <c r="C88" s="84" t="s">
        <v>70</v>
      </c>
      <c r="D88" s="75"/>
      <c r="E88" s="75"/>
      <c r="F88" s="79" t="s">
        <v>0</v>
      </c>
      <c r="G88" s="85">
        <f t="shared" ref="G88:L88" si="37">+FO_Forward_Year_1_Net_Income/G40</f>
      </c>
      <c r="H88" s="85">
        <f t="shared" si="37"/>
      </c>
      <c r="I88" s="85">
        <f t="shared" si="37"/>
      </c>
      <c r="J88" s="85">
        <f t="shared" si="37"/>
      </c>
      <c r="K88" s="85">
        <f t="shared" si="37"/>
      </c>
      <c r="L88" s="86">
        <f t="shared" si="37"/>
      </c>
    </row>
    <row r="89" spans="3:12" x14ac:dyDescent="0.2">
      <c r="C89" s="82"/>
      <c r="D89" s="75"/>
      <c r="E89" s="75"/>
      <c r="F89" s="75"/>
      <c r="G89" s="75"/>
      <c r="H89" s="75"/>
      <c r="I89" s="75"/>
      <c r="J89" s="75"/>
      <c r="K89" s="75"/>
      <c r="L89" s="83"/>
    </row>
    <row r="90" spans="3:12" x14ac:dyDescent="0.2">
      <c r="C90" s="84" t="s">
        <v>71</v>
      </c>
      <c r="D90" s="75"/>
      <c r="E90" s="75"/>
      <c r="F90" s="79" t="s">
        <v>0</v>
      </c>
      <c r="G90" s="85">
        <v>3.7289999999999997E-2</v>
      </c>
      <c r="H90" s="85">
        <v>3.7289999999999997E-2</v>
      </c>
      <c r="I90" s="85">
        <v>3.7289999999999997E-2</v>
      </c>
      <c r="J90" s="85">
        <v>3.7289999999999997E-2</v>
      </c>
      <c r="K90" s="85">
        <v>3.7289999999999997E-2</v>
      </c>
      <c r="L90" s="86">
        <v>3.7289999999999997E-2</v>
      </c>
    </row>
    <row r="91" spans="3:12" x14ac:dyDescent="0.2">
      <c r="C91" s="87" t="s">
        <v>72</v>
      </c>
      <c r="D91" s="88"/>
      <c r="E91" s="88"/>
      <c r="F91" s="89" t="s">
        <v>0</v>
      </c>
      <c r="G91" s="90">
        <v>9.8999999999999991E-3</v>
      </c>
      <c r="H91" s="90">
        <v>9.8999999999999991E-3</v>
      </c>
      <c r="I91" s="90">
        <v>9.8999999999999991E-3</v>
      </c>
      <c r="J91" s="90">
        <v>9.8999999999999991E-3</v>
      </c>
      <c r="K91" s="90">
        <v>9.8999999999999991E-3</v>
      </c>
      <c r="L91" s="91">
        <v>9.8999999999999991E-3</v>
      </c>
    </row>
  </sheetData>
  <dataValidations disablePrompts="1" count="1">
    <dataValidation type="decimal" allowBlank="1" showInputMessage="1" showErrorMessage="1" sqref="F18:F19 F15:F16" xr:uid="{00000000-0002-0000-0200-000000000000}">
      <formula1>0</formula1>
      <formula2>1</formula2>
    </dataValidation>
  </dataValidations>
  <pageMargins left="0.7" right="0.7" top="0.75" bottom="0.75" header="0.3" footer="0.3"/>
  <pageSetup paperSize="9" scale="59" orientation="portrait" r:id="rId1"/>
  <rowBreaks count="1" manualBreakCount="1">
    <brk id="46" max="1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FO-Model</vt:lpstr>
      <vt:lpstr>Diluted_Shares</vt:lpstr>
      <vt:lpstr>FO_Forward_Year_1_EBITDA</vt:lpstr>
      <vt:lpstr>FO_Forward_Year_1_Net_Income</vt:lpstr>
      <vt:lpstr>FO_Forward_Year_1_Revenue</vt:lpstr>
      <vt:lpstr>FO_Greenshoe_Pct</vt:lpstr>
      <vt:lpstr>FO_Greenshoe_Primary_Pct</vt:lpstr>
      <vt:lpstr>FO_Offering_Size</vt:lpstr>
      <vt:lpstr>FO_Pre_Transaction_EPS</vt:lpstr>
      <vt:lpstr>FO_Primary_Pct</vt:lpstr>
      <vt:lpstr>FO_Spread</vt:lpstr>
      <vt:lpstr>'FO-Model'!Print_Area</vt:lpstr>
      <vt:lpstr>Share_Price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